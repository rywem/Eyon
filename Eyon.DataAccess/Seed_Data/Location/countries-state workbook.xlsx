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 activeTab="3"/>
  </bookViews>
  <sheets>
    <sheet name="countries" sheetId="1" r:id="rId1"/>
    <sheet name="Country_WorkingSheet" sheetId="3" r:id="rId2"/>
    <sheet name="State_Provinces" sheetId="2" r:id="rId3"/>
    <sheet name="Sheet4" sheetId="4" r:id="rId4"/>
  </sheets>
  <calcPr calcId="145621"/>
</workbook>
</file>

<file path=xl/calcChain.xml><?xml version="1.0" encoding="utf-8"?>
<calcChain xmlns="http://schemas.openxmlformats.org/spreadsheetml/2006/main">
  <c r="H363" i="4" l="1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4" i="4"/>
  <c r="A3" i="4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</calcChain>
</file>

<file path=xl/sharedStrings.xml><?xml version="1.0" encoding="utf-8"?>
<sst xmlns="http://schemas.openxmlformats.org/spreadsheetml/2006/main" count="3822" uniqueCount="1248">
  <si>
    <t>ALBANIA</t>
  </si>
  <si>
    <t>AL</t>
  </si>
  <si>
    <t>ALGERIA</t>
  </si>
  <si>
    <t>DZ</t>
  </si>
  <si>
    <t>ANDORRA</t>
  </si>
  <si>
    <t>AD</t>
  </si>
  <si>
    <t>ANGOLA</t>
  </si>
  <si>
    <t>AO</t>
  </si>
  <si>
    <t>ANGUILLA</t>
  </si>
  <si>
    <t>AI</t>
  </si>
  <si>
    <t>ANTIGUA &amp; BARBUDA</t>
  </si>
  <si>
    <t>AG</t>
  </si>
  <si>
    <t>ARGENTINA</t>
  </si>
  <si>
    <t>AR</t>
  </si>
  <si>
    <t>ARMENIA</t>
  </si>
  <si>
    <t>AM</t>
  </si>
  <si>
    <t>ARUBA</t>
  </si>
  <si>
    <t>AW</t>
  </si>
  <si>
    <t>AUSTRALIA</t>
  </si>
  <si>
    <t>AU</t>
  </si>
  <si>
    <t>AUSTRIA</t>
  </si>
  <si>
    <t>AT</t>
  </si>
  <si>
    <t>AZERBAIJAN</t>
  </si>
  <si>
    <t>AZ</t>
  </si>
  <si>
    <t>BAHAMAS</t>
  </si>
  <si>
    <t>BS</t>
  </si>
  <si>
    <t>BAHRAIN</t>
  </si>
  <si>
    <t>BH</t>
  </si>
  <si>
    <t>BARBADOS</t>
  </si>
  <si>
    <t>BB</t>
  </si>
  <si>
    <t>BELARUS</t>
  </si>
  <si>
    <t>BY</t>
  </si>
  <si>
    <t>BELGIUM</t>
  </si>
  <si>
    <t>BE</t>
  </si>
  <si>
    <t>BELIZE</t>
  </si>
  <si>
    <t>BZ</t>
  </si>
  <si>
    <t>BENIN</t>
  </si>
  <si>
    <t>BJ</t>
  </si>
  <si>
    <t>BERMUDA</t>
  </si>
  <si>
    <t>BM</t>
  </si>
  <si>
    <t>BHUTAN</t>
  </si>
  <si>
    <t>BT</t>
  </si>
  <si>
    <t>BOLIVIA</t>
  </si>
  <si>
    <t>BO</t>
  </si>
  <si>
    <t>BOSNIA &amp; HERZEGOVINA</t>
  </si>
  <si>
    <t>BA</t>
  </si>
  <si>
    <t>BOTSWANA</t>
  </si>
  <si>
    <t>BW</t>
  </si>
  <si>
    <t>BRAZIL</t>
  </si>
  <si>
    <t>BR</t>
  </si>
  <si>
    <t>BRITISH VIRGIN ISLANDS</t>
  </si>
  <si>
    <t>VG</t>
  </si>
  <si>
    <t>BRUNEI</t>
  </si>
  <si>
    <t>BN</t>
  </si>
  <si>
    <t>BULGARIA</t>
  </si>
  <si>
    <t>BG</t>
  </si>
  <si>
    <t>BURKINA FASO</t>
  </si>
  <si>
    <t>BF</t>
  </si>
  <si>
    <t>BURUNDI</t>
  </si>
  <si>
    <t>BI</t>
  </si>
  <si>
    <t>CAMBODIA</t>
  </si>
  <si>
    <t>KH</t>
  </si>
  <si>
    <t>CAMEROON</t>
  </si>
  <si>
    <t>CM</t>
  </si>
  <si>
    <t>CANADA</t>
  </si>
  <si>
    <t>CA</t>
  </si>
  <si>
    <t>CAPE VERDE</t>
  </si>
  <si>
    <t>CV</t>
  </si>
  <si>
    <t>CAYMAN ISLANDS</t>
  </si>
  <si>
    <t>KY</t>
  </si>
  <si>
    <t>CHAD</t>
  </si>
  <si>
    <t>TD</t>
  </si>
  <si>
    <t>CHILE</t>
  </si>
  <si>
    <t>CL</t>
  </si>
  <si>
    <t>CHINA</t>
  </si>
  <si>
    <t>C2</t>
  </si>
  <si>
    <t>COLOMBIA</t>
  </si>
  <si>
    <t>CO</t>
  </si>
  <si>
    <t>COMOROS</t>
  </si>
  <si>
    <t>KM</t>
  </si>
  <si>
    <t>CONGO - BRAZZAVILLE</t>
  </si>
  <si>
    <t>CG</t>
  </si>
  <si>
    <t>CONGO - KINSHASA</t>
  </si>
  <si>
    <t>CD</t>
  </si>
  <si>
    <t>COOK ISLANDS</t>
  </si>
  <si>
    <t>CK</t>
  </si>
  <si>
    <t>COSTA RICA</t>
  </si>
  <si>
    <t>CR</t>
  </si>
  <si>
    <t>CÔTE D’IVOIRE</t>
  </si>
  <si>
    <t>CI</t>
  </si>
  <si>
    <t>CROATIA</t>
  </si>
  <si>
    <t>HR</t>
  </si>
  <si>
    <t>CYPRUS</t>
  </si>
  <si>
    <t>CY</t>
  </si>
  <si>
    <t>CZECH REPUBLIC</t>
  </si>
  <si>
    <t>CZ</t>
  </si>
  <si>
    <t>DENMARK</t>
  </si>
  <si>
    <t>DK</t>
  </si>
  <si>
    <t>DJIBOUTI</t>
  </si>
  <si>
    <t>DJ</t>
  </si>
  <si>
    <t>DOMINICA</t>
  </si>
  <si>
    <t>DM</t>
  </si>
  <si>
    <t>DOMINICAN REPUBLIC</t>
  </si>
  <si>
    <t>DO</t>
  </si>
  <si>
    <t>ECUADOR</t>
  </si>
  <si>
    <t>EC</t>
  </si>
  <si>
    <t>EGYPT</t>
  </si>
  <si>
    <t>EG</t>
  </si>
  <si>
    <t>EL SALVADOR</t>
  </si>
  <si>
    <t>SV</t>
  </si>
  <si>
    <t>ERITREA</t>
  </si>
  <si>
    <t>ER</t>
  </si>
  <si>
    <t>ESTONIA</t>
  </si>
  <si>
    <t>EE</t>
  </si>
  <si>
    <t>ETHIOPIA</t>
  </si>
  <si>
    <t>ET</t>
  </si>
  <si>
    <t>FALKLAND ISLANDS</t>
  </si>
  <si>
    <t>FK</t>
  </si>
  <si>
    <t>FAROE ISLANDS</t>
  </si>
  <si>
    <t>FO</t>
  </si>
  <si>
    <t>FIJI</t>
  </si>
  <si>
    <t>FJ</t>
  </si>
  <si>
    <t>FINLAND</t>
  </si>
  <si>
    <t>FI</t>
  </si>
  <si>
    <t>FRANCE</t>
  </si>
  <si>
    <t>FR</t>
  </si>
  <si>
    <t>FRENCH GUIANA</t>
  </si>
  <si>
    <t>GF</t>
  </si>
  <si>
    <t>FRENCH POLYNESIA</t>
  </si>
  <si>
    <t>PF</t>
  </si>
  <si>
    <t>GABON</t>
  </si>
  <si>
    <t>GA</t>
  </si>
  <si>
    <t>GAMBIA</t>
  </si>
  <si>
    <t>GM</t>
  </si>
  <si>
    <t>GEORGIA</t>
  </si>
  <si>
    <t>GE</t>
  </si>
  <si>
    <t>GERMANY</t>
  </si>
  <si>
    <t>DE</t>
  </si>
  <si>
    <t>GIBRALTAR</t>
  </si>
  <si>
    <t>GI</t>
  </si>
  <si>
    <t>GREECE</t>
  </si>
  <si>
    <t>GR</t>
  </si>
  <si>
    <t>GREENLAND</t>
  </si>
  <si>
    <t>GL</t>
  </si>
  <si>
    <t>GRENADA</t>
  </si>
  <si>
    <t>GD</t>
  </si>
  <si>
    <t>GUADELOUPE</t>
  </si>
  <si>
    <t>GP</t>
  </si>
  <si>
    <t>GUATEMALA</t>
  </si>
  <si>
    <t>GT</t>
  </si>
  <si>
    <t>GUINEA</t>
  </si>
  <si>
    <t>GN</t>
  </si>
  <si>
    <t>GUINEA-BISSAU</t>
  </si>
  <si>
    <t>GW</t>
  </si>
  <si>
    <t>GUYANA</t>
  </si>
  <si>
    <t>GY</t>
  </si>
  <si>
    <t>HONDURAS</t>
  </si>
  <si>
    <t>HN</t>
  </si>
  <si>
    <t>HONG KONG SAR CHINA</t>
  </si>
  <si>
    <t>HK</t>
  </si>
  <si>
    <t>HUNGARY</t>
  </si>
  <si>
    <t>HU</t>
  </si>
  <si>
    <t>ICELAND</t>
  </si>
  <si>
    <t>IS</t>
  </si>
  <si>
    <t>INDIA</t>
  </si>
  <si>
    <t>IN</t>
  </si>
  <si>
    <t>INDONESIA</t>
  </si>
  <si>
    <t>ID</t>
  </si>
  <si>
    <t>IRELAND</t>
  </si>
  <si>
    <t>IE</t>
  </si>
  <si>
    <t>ISRAEL</t>
  </si>
  <si>
    <t>IL</t>
  </si>
  <si>
    <t>ITALY</t>
  </si>
  <si>
    <t>IT</t>
  </si>
  <si>
    <t>JAMAICA</t>
  </si>
  <si>
    <t>JM</t>
  </si>
  <si>
    <t>JAPAN</t>
  </si>
  <si>
    <t>JP</t>
  </si>
  <si>
    <t>JORDAN</t>
  </si>
  <si>
    <t>JO</t>
  </si>
  <si>
    <t>KAZAKHSTAN</t>
  </si>
  <si>
    <t>KZ</t>
  </si>
  <si>
    <t>KENYA</t>
  </si>
  <si>
    <t>KE</t>
  </si>
  <si>
    <t>KIRIBATI</t>
  </si>
  <si>
    <t>KI</t>
  </si>
  <si>
    <t>KUWAIT</t>
  </si>
  <si>
    <t>KW</t>
  </si>
  <si>
    <t>KYRGYZSTAN</t>
  </si>
  <si>
    <t>KG</t>
  </si>
  <si>
    <t>LAOS</t>
  </si>
  <si>
    <t>LA</t>
  </si>
  <si>
    <t>LATVIA</t>
  </si>
  <si>
    <t>LV</t>
  </si>
  <si>
    <t>LESOTHO</t>
  </si>
  <si>
    <t>LS</t>
  </si>
  <si>
    <t>LIECHTENSTEIN</t>
  </si>
  <si>
    <t>LI</t>
  </si>
  <si>
    <t>LITHUANIA</t>
  </si>
  <si>
    <t>LT</t>
  </si>
  <si>
    <t>LUXEMBOURG</t>
  </si>
  <si>
    <t>LU</t>
  </si>
  <si>
    <t>MACEDONIA</t>
  </si>
  <si>
    <t>MK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</si>
  <si>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</si>
  <si>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</si>
  <si>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</si>
  <si>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</si>
  <si>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</si>
  <si>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</si>
  <si>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</si>
  <si>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</si>
  <si>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MALI</t>
  </si>
  <si>
    <t>ML</t>
  </si>
  <si>
    <t>MALTA</t>
  </si>
  <si>
    <t>MT</t>
  </si>
  <si>
    <t>MARSHALL ISLANDS</t>
  </si>
  <si>
    <t>MH</t>
  </si>
  <si>
    <t>MARTINIQUE</t>
  </si>
  <si>
    <t>MQ</t>
  </si>
  <si>
    <t>MAURITANIA</t>
  </si>
  <si>
    <t>MR</t>
  </si>
  <si>
    <t>MAURITIUS</t>
  </si>
  <si>
    <t>MU</t>
  </si>
  <si>
    <t>MAYOTTE</t>
  </si>
  <si>
    <t>YT</t>
  </si>
  <si>
    <t>MEXICO</t>
  </si>
  <si>
    <t>MX</t>
  </si>
  <si>
    <t>MICRONESIA</t>
  </si>
  <si>
    <t>FM</t>
  </si>
  <si>
    <t>MOLDOVA</t>
  </si>
  <si>
    <t>MD</t>
  </si>
  <si>
    <t>MONACO</t>
  </si>
  <si>
    <t>MC</t>
  </si>
  <si>
    <t>MONGOLIA</t>
  </si>
  <si>
    <t>MN</t>
  </si>
  <si>
    <t>MONTENEGRO</t>
  </si>
  <si>
    <t>ME</t>
  </si>
  <si>
    <t>MONTSERRAT</t>
  </si>
  <si>
    <t>MS</t>
  </si>
  <si>
    <t>MOROCCO</t>
  </si>
  <si>
    <t>MA</t>
  </si>
  <si>
    <t>MOZAMBIQUE</t>
  </si>
  <si>
    <t>MZ</t>
  </si>
  <si>
    <t>NAMIBIA</t>
  </si>
  <si>
    <t>NA</t>
  </si>
  <si>
    <t>NAURU</t>
  </si>
  <si>
    <t>NR</t>
  </si>
  <si>
    <t>NEPAL</t>
  </si>
  <si>
    <t>NP</t>
  </si>
  <si>
    <t>NETHERLANDS</t>
  </si>
  <si>
    <t>NL</t>
  </si>
  <si>
    <t>NEW CALEDONIA</t>
  </si>
  <si>
    <t>NC</t>
  </si>
  <si>
    <t>NEW ZEALAND</t>
  </si>
  <si>
    <t>NZ</t>
  </si>
  <si>
    <t>NICARAGUA</t>
  </si>
  <si>
    <t>NI</t>
  </si>
  <si>
    <t>NIGER</t>
  </si>
  <si>
    <t>NE</t>
  </si>
  <si>
    <t>NIGERIA</t>
  </si>
  <si>
    <t>NG</t>
  </si>
  <si>
    <t>NIUE</t>
  </si>
  <si>
    <t>NU</t>
  </si>
  <si>
    <t>NORFOLK ISLAND</t>
  </si>
  <si>
    <t>NF</t>
  </si>
  <si>
    <t>NORWAY</t>
  </si>
  <si>
    <t>NO</t>
  </si>
  <si>
    <t>OMAN</t>
  </si>
  <si>
    <t>OM</t>
  </si>
  <si>
    <t>PALAU</t>
  </si>
  <si>
    <t>PW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</si>
  <si>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</si>
  <si>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</si>
  <si>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</si>
  <si>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</si>
  <si>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</si>
  <si>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</si>
  <si>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</si>
  <si>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</si>
  <si>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</si>
  <si>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</si>
  <si>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PITCAIRN ISLANDS</t>
  </si>
  <si>
    <t>PN</t>
  </si>
  <si>
    <t>POLAND</t>
  </si>
  <si>
    <t>PL</t>
  </si>
  <si>
    <t>PORTUGAL</t>
  </si>
  <si>
    <t>PT</t>
  </si>
  <si>
    <t>QATAR</t>
  </si>
  <si>
    <t>QA</t>
  </si>
  <si>
    <t>RÉUNION</t>
  </si>
  <si>
    <t>RE</t>
  </si>
  <si>
    <t>ROMANIA</t>
  </si>
  <si>
    <t>RO</t>
  </si>
  <si>
    <t>RUSSIA</t>
  </si>
  <si>
    <t>RU</t>
  </si>
  <si>
    <t>RWANDA</t>
  </si>
  <si>
    <t>RW</t>
  </si>
  <si>
    <t>SAMOA</t>
  </si>
  <si>
    <t>WS</t>
  </si>
  <si>
    <t>SAN MARINO</t>
  </si>
  <si>
    <t>SM</t>
  </si>
  <si>
    <t>SÃO TOMÉ &amp; PRÍNCIPE</t>
  </si>
  <si>
    <t>ST</t>
  </si>
  <si>
    <t>SAUDI ARABIA</t>
  </si>
  <si>
    <t>SA</t>
  </si>
  <si>
    <t>SENEGAL</t>
  </si>
  <si>
    <t>SN</t>
  </si>
  <si>
    <t>SERBIA</t>
  </si>
  <si>
    <t>RS</t>
  </si>
  <si>
    <t>SEYCHELLES</t>
  </si>
  <si>
    <t>SC</t>
  </si>
  <si>
    <t>SIERRA LEONE</t>
  </si>
  <si>
    <t>SL</t>
  </si>
  <si>
    <t>SINGAPORE</t>
  </si>
  <si>
    <t>SG</t>
  </si>
  <si>
    <t>SLOVAKIA</t>
  </si>
  <si>
    <t>SK</t>
  </si>
  <si>
    <t>SLOVENIA</t>
  </si>
  <si>
    <t>SI</t>
  </si>
  <si>
    <t>SOLOMON ISLANDS</t>
  </si>
  <si>
    <t>SB</t>
  </si>
  <si>
    <t>SOMALIA</t>
  </si>
  <si>
    <t>SO</t>
  </si>
  <si>
    <t>SOUTH AFRICA</t>
  </si>
  <si>
    <t>ZA</t>
  </si>
  <si>
    <t>SOUTH KOREA</t>
  </si>
  <si>
    <t>KR</t>
  </si>
  <si>
    <t>SPAIN</t>
  </si>
  <si>
    <t>ES</t>
  </si>
  <si>
    <t>SRI LANKA</t>
  </si>
  <si>
    <t>LK</t>
  </si>
  <si>
    <t>ST. HELENA</t>
  </si>
  <si>
    <t>SH</t>
  </si>
  <si>
    <t>ST. KITTS &amp; NEVIS</t>
  </si>
  <si>
    <t>KN</t>
  </si>
  <si>
    <t>ST. LUCIA</t>
  </si>
  <si>
    <t>LC</t>
  </si>
  <si>
    <t>ST. PIERRE &amp; MIQUELON</t>
  </si>
  <si>
    <t>PM</t>
  </si>
  <si>
    <t>ST. VINCENT &amp; GRENADINES</t>
  </si>
  <si>
    <t>VC</t>
  </si>
  <si>
    <t>SURINAME</t>
  </si>
  <si>
    <t>SR</t>
  </si>
  <si>
    <t>SVALBARD &amp; JAN MAYEN</t>
  </si>
  <si>
    <t>SJ</t>
  </si>
  <si>
    <t>SWAZILAND</t>
  </si>
  <si>
    <t>SZ</t>
  </si>
  <si>
    <t>SWEDEN</t>
  </si>
  <si>
    <t>SE</t>
  </si>
  <si>
    <t>SWITZERLAND</t>
  </si>
  <si>
    <t>CH</t>
  </si>
  <si>
    <t>TAIWAN</t>
  </si>
  <si>
    <t>TW</t>
  </si>
  <si>
    <t>TAJIKISTAN</t>
  </si>
  <si>
    <t>TJ</t>
  </si>
  <si>
    <t>TANZANIA</t>
  </si>
  <si>
    <t>TZ</t>
  </si>
  <si>
    <t>THAILAND</t>
  </si>
  <si>
    <t>TH</t>
  </si>
  <si>
    <t>TOGO</t>
  </si>
  <si>
    <t>TG</t>
  </si>
  <si>
    <t>TONGA</t>
  </si>
  <si>
    <t>TO</t>
  </si>
  <si>
    <t>TRINIDAD &amp; TOBAGO</t>
  </si>
  <si>
    <t>TT</t>
  </si>
  <si>
    <t>TUNISIA</t>
  </si>
  <si>
    <t>TN</t>
  </si>
  <si>
    <t>TURKMENISTAN</t>
  </si>
  <si>
    <t>TM</t>
  </si>
  <si>
    <t>TURKS &amp; CAICOS ISLANDS</t>
  </si>
  <si>
    <t>TC</t>
  </si>
  <si>
    <t>TUVALU</t>
  </si>
  <si>
    <t>TV</t>
  </si>
  <si>
    <t>UGANDA</t>
  </si>
  <si>
    <t>UG</t>
  </si>
  <si>
    <t>UKRAINE</t>
  </si>
  <si>
    <t>UA</t>
  </si>
  <si>
    <t>UNITED ARAB EMIRATES</t>
  </si>
  <si>
    <t>AE</t>
  </si>
  <si>
    <t>UNITED KINGDOM</t>
  </si>
  <si>
    <t>GB</t>
  </si>
  <si>
    <t>UNITED STATES</t>
  </si>
  <si>
    <t>US</t>
  </si>
  <si>
    <t>URUGUAY</t>
  </si>
  <si>
    <t>UY</t>
  </si>
  <si>
    <t>VANUATU</t>
  </si>
  <si>
    <t>VU</t>
  </si>
  <si>
    <t>VATICAN CITY</t>
  </si>
  <si>
    <t>VA</t>
  </si>
  <si>
    <t>VENEZUELA</t>
  </si>
  <si>
    <t>VE</t>
  </si>
  <si>
    <t>VIETNAM</t>
  </si>
  <si>
    <t>VN</t>
  </si>
  <si>
    <t>WALLIS &amp; FUTUNA</t>
  </si>
  <si>
    <t>WF</t>
  </si>
  <si>
    <t>YEMEN</t>
  </si>
  <si>
    <t>YE</t>
  </si>
  <si>
    <t>ZAMBIA</t>
  </si>
  <si>
    <t>ZM</t>
  </si>
  <si>
    <t>ZIMBABWE</t>
  </si>
  <si>
    <t>ZW</t>
  </si>
  <si>
    <t>Name</t>
  </si>
  <si>
    <t>CountryCode</t>
  </si>
  <si>
    <t>Id</t>
  </si>
  <si>
    <t>Country</t>
  </si>
  <si>
    <t>Code</t>
  </si>
  <si>
    <t>Type</t>
  </si>
  <si>
    <t>LocalName</t>
  </si>
  <si>
    <t>Argentina</t>
  </si>
  <si>
    <t>Buenos Aires (Ciudad)</t>
  </si>
  <si>
    <t>CIUDAD AUTÓNOMA DE BUENOS AIRES</t>
  </si>
  <si>
    <t>Province</t>
  </si>
  <si>
    <t>Buenos Aires (Provincia)</t>
  </si>
  <si>
    <t>BUENOS AIRES</t>
  </si>
  <si>
    <t>Catamarca</t>
  </si>
  <si>
    <t>CATAMARCA</t>
  </si>
  <si>
    <t>Chaco</t>
  </si>
  <si>
    <t>CHACO</t>
  </si>
  <si>
    <t>Chubut</t>
  </si>
  <si>
    <t>CHUBUT</t>
  </si>
  <si>
    <t>Corrientes</t>
  </si>
  <si>
    <t>CORRIENTES</t>
  </si>
  <si>
    <t>Córdoba</t>
  </si>
  <si>
    <t>CÓRDOBA</t>
  </si>
  <si>
    <t>Entre Ríos</t>
  </si>
  <si>
    <t>ENTRE RÍOS</t>
  </si>
  <si>
    <t>Formosa</t>
  </si>
  <si>
    <t>FORMOSA</t>
  </si>
  <si>
    <t>Jujuy</t>
  </si>
  <si>
    <t>JUJUY</t>
  </si>
  <si>
    <t>La Pampa</t>
  </si>
  <si>
    <t>LA PAMPA</t>
  </si>
  <si>
    <t>La Rioja</t>
  </si>
  <si>
    <t>LA RIOJA</t>
  </si>
  <si>
    <t>Mendoza</t>
  </si>
  <si>
    <t>MENDOZA</t>
  </si>
  <si>
    <t>Misiones</t>
  </si>
  <si>
    <t>MISIONES</t>
  </si>
  <si>
    <t>Neuquén</t>
  </si>
  <si>
    <t>NEUQUÉN</t>
  </si>
  <si>
    <t>Río Negro</t>
  </si>
  <si>
    <t>RÍO NEGRO</t>
  </si>
  <si>
    <t>Salta</t>
  </si>
  <si>
    <t>SALTA</t>
  </si>
  <si>
    <t>San Juan</t>
  </si>
  <si>
    <t>SAN JUAN</t>
  </si>
  <si>
    <t>San Luis</t>
  </si>
  <si>
    <t>SAN LUIS</t>
  </si>
  <si>
    <t>Santa Cruz</t>
  </si>
  <si>
    <t>SANTA CRUZ</t>
  </si>
  <si>
    <t>Santa Fe</t>
  </si>
  <si>
    <t>SANTA FE</t>
  </si>
  <si>
    <t>Santiago del Estero</t>
  </si>
  <si>
    <t>SANTIAGO DEL ESTERO</t>
  </si>
  <si>
    <t>Tierra del Fuego</t>
  </si>
  <si>
    <t>TIERRA DEL FUEGO</t>
  </si>
  <si>
    <t>Tucumán</t>
  </si>
  <si>
    <t>TUCUMÁN</t>
  </si>
  <si>
    <t>Brazil</t>
  </si>
  <si>
    <t>Acre</t>
  </si>
  <si>
    <t>AC</t>
  </si>
  <si>
    <t>State</t>
  </si>
  <si>
    <t>Alagoas</t>
  </si>
  <si>
    <t>Amapá</t>
  </si>
  <si>
    <t>AP</t>
  </si>
  <si>
    <t>Amazonas</t>
  </si>
  <si>
    <t>Bahia</t>
  </si>
  <si>
    <t>Ceará</t>
  </si>
  <si>
    <t>CE</t>
  </si>
  <si>
    <t>Distrito Federal</t>
  </si>
  <si>
    <t>DF</t>
  </si>
  <si>
    <t>Espírito Santo</t>
  </si>
  <si>
    <t>Goiás</t>
  </si>
  <si>
    <t>GO</t>
  </si>
  <si>
    <t>Maranhão</t>
  </si>
  <si>
    <t>Mato Grosso</t>
  </si>
  <si>
    <t>Mato Grosso do Sul</t>
  </si>
  <si>
    <t>Minas Gerais</t>
  </si>
  <si>
    <t>Paraná</t>
  </si>
  <si>
    <t>PR</t>
  </si>
  <si>
    <t>Paraíba</t>
  </si>
  <si>
    <t>PB</t>
  </si>
  <si>
    <t>Pará</t>
  </si>
  <si>
    <t>Pernambuco</t>
  </si>
  <si>
    <t>Piauí</t>
  </si>
  <si>
    <t>PI</t>
  </si>
  <si>
    <t>Rio Grande do Norte</t>
  </si>
  <si>
    <t>RN</t>
  </si>
  <si>
    <t>Rio Grande do Sul</t>
  </si>
  <si>
    <t>Rio de Janeiro</t>
  </si>
  <si>
    <t>RJ</t>
  </si>
  <si>
    <t>Rondônia</t>
  </si>
  <si>
    <t>Roraima</t>
  </si>
  <si>
    <t>RR</t>
  </si>
  <si>
    <t>Santa Catarina</t>
  </si>
  <si>
    <t>Sergipe</t>
  </si>
  <si>
    <t>São Paulo</t>
  </si>
  <si>
    <t>SP</t>
  </si>
  <si>
    <t>Tocantins</t>
  </si>
  <si>
    <t>Canada</t>
  </si>
  <si>
    <t>Alberta</t>
  </si>
  <si>
    <t>AB</t>
  </si>
  <si>
    <t>British Columbia</t>
  </si>
  <si>
    <t>BC</t>
  </si>
  <si>
    <t>Manitoba</t>
  </si>
  <si>
    <t>MB</t>
  </si>
  <si>
    <t>New Brunswick</t>
  </si>
  <si>
    <t>NB</t>
  </si>
  <si>
    <t>Newfoundland and Labrador</t>
  </si>
  <si>
    <t>Northwest Territories</t>
  </si>
  <si>
    <t>NT</t>
  </si>
  <si>
    <t>Nova Scotia</t>
  </si>
  <si>
    <t>NS</t>
  </si>
  <si>
    <t>Nunavut</t>
  </si>
  <si>
    <t>Ontario</t>
  </si>
  <si>
    <t>ON</t>
  </si>
  <si>
    <t>Prince Edward Island</t>
  </si>
  <si>
    <t>Quebec</t>
  </si>
  <si>
    <t>QC</t>
  </si>
  <si>
    <t>Saskatchewan</t>
  </si>
  <si>
    <t>Yukon</t>
  </si>
  <si>
    <t>China</t>
  </si>
  <si>
    <t>Anhui Sheng</t>
  </si>
  <si>
    <t>CN-AH</t>
  </si>
  <si>
    <t>安徽省 (Ānhuī Shěng)</t>
  </si>
  <si>
    <t>Beijing Shi</t>
  </si>
  <si>
    <t>CN-BJ</t>
  </si>
  <si>
    <t>Municipality</t>
  </si>
  <si>
    <t>北京市 (Běijīng Shì)</t>
  </si>
  <si>
    <t>Chongqing Shi</t>
  </si>
  <si>
    <t>CN-CQ</t>
  </si>
  <si>
    <t>重庆市 (Chóngqìng Shì)</t>
  </si>
  <si>
    <t>Fujian Sheng</t>
  </si>
  <si>
    <t>CN-FJ</t>
  </si>
  <si>
    <t>福建省 (Fújiàn Shěng)</t>
  </si>
  <si>
    <t>Guangdong Sheng</t>
  </si>
  <si>
    <t>CN-GD</t>
  </si>
  <si>
    <t>广东省 (Guǎngdōng Shěng)</t>
  </si>
  <si>
    <t>Gansu Sheng</t>
  </si>
  <si>
    <t>CN-GS</t>
  </si>
  <si>
    <t>甘肃省 (Gānsù Shěng)</t>
  </si>
  <si>
    <t>Guangxi Zhuangzu Zizhiqu</t>
  </si>
  <si>
    <t>CN-GX</t>
  </si>
  <si>
    <t>Autonomous region</t>
  </si>
  <si>
    <t>广西壮族自治区 (Guǎngxī Zhuàngzú Zìzhìqū)</t>
  </si>
  <si>
    <t>Guizhou Sheng</t>
  </si>
  <si>
    <t>CN-GZ</t>
  </si>
  <si>
    <t>贵州省 (Guìzhōu Shěng)</t>
  </si>
  <si>
    <t>Henan Sheng</t>
  </si>
  <si>
    <t>CN-HA</t>
  </si>
  <si>
    <t>河南省 (Hénán Shěng)</t>
  </si>
  <si>
    <t>Hubei Sheng</t>
  </si>
  <si>
    <t>CN-HB</t>
  </si>
  <si>
    <t>湖北省 (Húběi Shěng)</t>
  </si>
  <si>
    <t>Hebei Sheng</t>
  </si>
  <si>
    <t>CN-HE</t>
  </si>
  <si>
    <t>河北省 (Héběi Shěng)</t>
  </si>
  <si>
    <t>Hainan Sheng</t>
  </si>
  <si>
    <t>CN-HI</t>
  </si>
  <si>
    <t>海南省 (Hǎinán Shěng)</t>
  </si>
  <si>
    <t>Hong Kong SAR (en)</t>
  </si>
  <si>
    <t>CN-HK</t>
  </si>
  <si>
    <t>Special administrative region</t>
  </si>
  <si>
    <t>香港特别行政区 (Xiānggǎng Tèbiéxíngzhèngqū)</t>
  </si>
  <si>
    <t>Xianggang Tebiexingzhengqu (zh)</t>
  </si>
  <si>
    <t>Heilongjiang Sheng</t>
  </si>
  <si>
    <t>CN-HL</t>
  </si>
  <si>
    <t>黑龙江省 (Hēilóngjiāng Shěng)</t>
  </si>
  <si>
    <t>Hunan Sheng</t>
  </si>
  <si>
    <t>CN-HN</t>
  </si>
  <si>
    <t>湖南省 (Húnán Shěng)</t>
  </si>
  <si>
    <t>Jilin Sheng</t>
  </si>
  <si>
    <t>CN-JL</t>
  </si>
  <si>
    <t>吉林省 (Jílín Shěng)</t>
  </si>
  <si>
    <t>Jiangsu Sheng</t>
  </si>
  <si>
    <t>CN-JS</t>
  </si>
  <si>
    <t>江苏省 (Jiāngsū Shěng)</t>
  </si>
  <si>
    <t>Jiangxi Sheng</t>
  </si>
  <si>
    <t>CN-JX</t>
  </si>
  <si>
    <t>江西省 (Jiāngxī Shěng)</t>
  </si>
  <si>
    <t>Liaoning Sheng</t>
  </si>
  <si>
    <t>CN-LN</t>
  </si>
  <si>
    <t>辽宁省 (Liáoníng Shěng)</t>
  </si>
  <si>
    <t>Macao SAR (en)</t>
  </si>
  <si>
    <t>CN-MO</t>
  </si>
  <si>
    <t>澳门特别行政区 (Àomén Tèbiéxíngzhèngqū)</t>
  </si>
  <si>
    <t>Macau SAR (pt)</t>
  </si>
  <si>
    <t>Aomen Tebiexingzhengqu (zh)</t>
  </si>
  <si>
    <t>Nei Mongol Zizhiqu (mn)</t>
  </si>
  <si>
    <t>CN-NM</t>
  </si>
  <si>
    <t>内蒙古自治区 (Nèi Ménggǔ Zìzhìqū)</t>
  </si>
  <si>
    <t>Ningxia Huizu Zizhiqu</t>
  </si>
  <si>
    <t>CN-NX</t>
  </si>
  <si>
    <t>宁夏回族自治区 (Níngxià Huízú Zìzhìqū)</t>
  </si>
  <si>
    <t>Qinghai Sheng</t>
  </si>
  <si>
    <t>CN-QH</t>
  </si>
  <si>
    <t>青海省 (Qīnghǎi Shěng)</t>
  </si>
  <si>
    <t>Sichuan Sheng</t>
  </si>
  <si>
    <t>CN-SC</t>
  </si>
  <si>
    <t>四川省 (Sìchuān Shěng)</t>
  </si>
  <si>
    <t>Shandong Sheng</t>
  </si>
  <si>
    <t>CN-SD</t>
  </si>
  <si>
    <t>山东省 (Shāndōng Shěng)</t>
  </si>
  <si>
    <t>Shanghai Shi</t>
  </si>
  <si>
    <t>CN-SH</t>
  </si>
  <si>
    <t>上海市 (Shànghǎi Shì)</t>
  </si>
  <si>
    <t>Shaanxi Sheng</t>
  </si>
  <si>
    <t>CN-SN</t>
  </si>
  <si>
    <t>陕西省 (Shǎnxī Shěng)</t>
  </si>
  <si>
    <t>Shanxi Sheng</t>
  </si>
  <si>
    <t>CN-SX</t>
  </si>
  <si>
    <t>山西省 (Shānxī Shěng)</t>
  </si>
  <si>
    <t>Tianjin Shi</t>
  </si>
  <si>
    <t>CN-TJ</t>
  </si>
  <si>
    <t>天津市 (Tiānjīn Shì)</t>
  </si>
  <si>
    <t>Taiwan Sheng</t>
  </si>
  <si>
    <t>CN-TW</t>
  </si>
  <si>
    <t>台湾省 (Táiwān Shěng)</t>
  </si>
  <si>
    <t>Xinjiang Uygur Zizhiqu</t>
  </si>
  <si>
    <t>CN-XJ</t>
  </si>
  <si>
    <t>新疆维吾尔自治区 (Xīnjiāng Wéiwú'ěr Zìzhìqū)</t>
  </si>
  <si>
    <t>Xizang Zizhiqu</t>
  </si>
  <si>
    <t>CN-XZ</t>
  </si>
  <si>
    <t>西藏自治区 (Xīzàng Zìzhìqū)</t>
  </si>
  <si>
    <t>Yunnan Sheng</t>
  </si>
  <si>
    <t>CN-YN</t>
  </si>
  <si>
    <t>云南省 (Yúnnán Shěng)</t>
  </si>
  <si>
    <t>Zhejiang Sheng</t>
  </si>
  <si>
    <t>CN-ZJ</t>
  </si>
  <si>
    <t>浙江省 (Zhèjiāng Shěng)</t>
  </si>
  <si>
    <t>India</t>
  </si>
  <si>
    <t>Andaman and Nicobar Islands</t>
  </si>
  <si>
    <t>Andhra Pradesh</t>
  </si>
  <si>
    <t>Army Post Office</t>
  </si>
  <si>
    <t>APO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</si>
  <si>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</si>
  <si>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</si>
  <si>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</si>
  <si>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</si>
  <si>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</si>
  <si>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</si>
  <si>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</si>
  <si>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</si>
  <si>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Delhi (NCT)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</si>
  <si>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</si>
  <si>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</si>
  <si>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</si>
  <si>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</si>
  <si>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</si>
  <si>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</si>
  <si>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</si>
  <si>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</si>
  <si>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</si>
  <si>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</si>
  <si>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</si>
  <si>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</si>
  <si>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</si>
  <si>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</si>
  <si>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</si>
  <si>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</si>
  <si>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</si>
  <si>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</si>
  <si>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</si>
  <si>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</si>
  <si>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</si>
  <si>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</si>
  <si>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</si>
  <si>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</si>
  <si>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</si>
  <si>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</si>
  <si>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Indonesia</t>
  </si>
  <si>
    <t>Bali</t>
  </si>
  <si>
    <t>ID-BA</t>
  </si>
  <si>
    <t>Bangka Belitung</t>
  </si>
  <si>
    <t>ID-BB</t>
  </si>
  <si>
    <t>Banten</t>
  </si>
  <si>
    <t>ID-BT</t>
  </si>
  <si>
    <t>Bengkulu</t>
  </si>
  <si>
    <t>ID-BE</t>
  </si>
  <si>
    <t>DI Yogyakarta</t>
  </si>
  <si>
    <t>ID-YO</t>
  </si>
  <si>
    <t>DKI Jakarta</t>
  </si>
  <si>
    <t>ID-JK</t>
  </si>
  <si>
    <t>Gorontalo</t>
  </si>
  <si>
    <t>ID-GO</t>
  </si>
  <si>
    <t>Jambi</t>
  </si>
  <si>
    <t>ID-JA</t>
  </si>
  <si>
    <t>Jawa Barat</t>
  </si>
  <si>
    <t>ID-JB</t>
  </si>
  <si>
    <t>Jawa Tengah</t>
  </si>
  <si>
    <t>ID-JT</t>
  </si>
  <si>
    <t>Jawa Timur</t>
  </si>
  <si>
    <t>ID-JI</t>
  </si>
  <si>
    <t>Kalimantan Barat</t>
  </si>
  <si>
    <t>ID-KB</t>
  </si>
  <si>
    <t>Kalimantan Selatan</t>
  </si>
  <si>
    <t>ID-KS</t>
  </si>
  <si>
    <t>Kalimantan Tengah</t>
  </si>
  <si>
    <t>ID-KT</t>
  </si>
  <si>
    <t>Kalimantan Timur</t>
  </si>
  <si>
    <t>ID-KI</t>
  </si>
  <si>
    <t>Kalimantan Utara</t>
  </si>
  <si>
    <t>ID-KU</t>
  </si>
  <si>
    <t>Kepulauan Riau</t>
  </si>
  <si>
    <t>ID-KR</t>
  </si>
  <si>
    <t>Lampung</t>
  </si>
  <si>
    <t>ID-LA</t>
  </si>
  <si>
    <t>Maluku</t>
  </si>
  <si>
    <t>ID-MA</t>
  </si>
  <si>
    <t>Maluku Utara</t>
  </si>
  <si>
    <t>ID-MU</t>
  </si>
  <si>
    <t>Nanggroe Aceh Darussalam</t>
  </si>
  <si>
    <t>ID-AC</t>
  </si>
  <si>
    <t>Nusa Tenggara Barat</t>
  </si>
  <si>
    <t>ID-NB</t>
  </si>
  <si>
    <t>Nusa Tenggara Timur</t>
  </si>
  <si>
    <t>ID-NT</t>
  </si>
  <si>
    <t>Papua</t>
  </si>
  <si>
    <t>ID-PA</t>
  </si>
  <si>
    <t>Papua Barat</t>
  </si>
  <si>
    <t>ID-PB</t>
  </si>
  <si>
    <t>Riau</t>
  </si>
  <si>
    <t>ID-RI</t>
  </si>
  <si>
    <t>Sulawesi Barat</t>
  </si>
  <si>
    <t>ID-SR</t>
  </si>
  <si>
    <t>Sulawesi Selatan</t>
  </si>
  <si>
    <t>ID-SN</t>
  </si>
  <si>
    <t>Sulawesi Tengah</t>
  </si>
  <si>
    <t>ID-ST</t>
  </si>
  <si>
    <t>Sulawesi Tenggara</t>
  </si>
  <si>
    <t>ID-SG</t>
  </si>
  <si>
    <t>Sulawesi Utara</t>
  </si>
  <si>
    <t>ID-SA</t>
  </si>
  <si>
    <t>Sumatera Barat</t>
  </si>
  <si>
    <t>ID-SB</t>
  </si>
  <si>
    <t>Sumatera Selatan</t>
  </si>
  <si>
    <t>ID-SS</t>
  </si>
  <si>
    <t>Sumatera Utara</t>
  </si>
  <si>
    <t>ID-SU</t>
  </si>
  <si>
    <t>Italy</t>
  </si>
  <si>
    <t>Agrigento</t>
  </si>
  <si>
    <t>Alessandria</t>
  </si>
  <si>
    <t>Ancona</t>
  </si>
  <si>
    <t>AN</t>
  </si>
  <si>
    <t>Aosta</t>
  </si>
  <si>
    <t>Arezzo</t>
  </si>
  <si>
    <t>Ascoli Piceno</t>
  </si>
  <si>
    <t>Asti</t>
  </si>
  <si>
    <t>Avellino</t>
  </si>
  <si>
    <t>AV</t>
  </si>
  <si>
    <t>Bari</t>
  </si>
  <si>
    <t>Barletta-Andria-Trani</t>
  </si>
  <si>
    <t>Belluno</t>
  </si>
  <si>
    <t>BL</t>
  </si>
  <si>
    <t>Benevento</t>
  </si>
  <si>
    <t>Bergamo</t>
  </si>
  <si>
    <t>Biella</t>
  </si>
  <si>
    <t>Bologna</t>
  </si>
  <si>
    <t>Bolzano</t>
  </si>
  <si>
    <t>Brescia</t>
  </si>
  <si>
    <t>Brindisi</t>
  </si>
  <si>
    <t>Cagliari</t>
  </si>
  <si>
    <t>Caltanissetta</t>
  </si>
  <si>
    <t>Campobasso</t>
  </si>
  <si>
    <t>CB</t>
  </si>
  <si>
    <t>Carbonia-Iglesias</t>
  </si>
  <si>
    <t>Caserta</t>
  </si>
  <si>
    <t>Catania</t>
  </si>
  <si>
    <t>CT</t>
  </si>
  <si>
    <t>Catanzaro</t>
  </si>
  <si>
    <t>Chieti</t>
  </si>
  <si>
    <t>Como</t>
  </si>
  <si>
    <t>Cosenza</t>
  </si>
  <si>
    <t>CS</t>
  </si>
  <si>
    <t>Cremona</t>
  </si>
  <si>
    <t>Crotone</t>
  </si>
  <si>
    <t>Cuneo</t>
  </si>
  <si>
    <t>CN</t>
  </si>
  <si>
    <t>Enna</t>
  </si>
  <si>
    <t>EN</t>
  </si>
  <si>
    <t>Fermo</t>
  </si>
  <si>
    <t>Ferrara</t>
  </si>
  <si>
    <t>FE</t>
  </si>
  <si>
    <t>Firenze</t>
  </si>
  <si>
    <t>Foggia</t>
  </si>
  <si>
    <t>FG</t>
  </si>
  <si>
    <t>Forlì-Cesena</t>
  </si>
  <si>
    <t>FC</t>
  </si>
  <si>
    <t>Frosinone</t>
  </si>
  <si>
    <t>Genova</t>
  </si>
  <si>
    <t>Gorizia</t>
  </si>
  <si>
    <t>Grosseto</t>
  </si>
  <si>
    <t>Imperia</t>
  </si>
  <si>
    <t>IM</t>
  </si>
  <si>
    <t>Isernia</t>
  </si>
  <si>
    <t>L'Aquila</t>
  </si>
  <si>
    <t>AQ</t>
  </si>
  <si>
    <t>La Spezia</t>
  </si>
  <si>
    <t>Latina</t>
  </si>
  <si>
    <t>Lecce</t>
  </si>
  <si>
    <t>LE</t>
  </si>
  <si>
    <t>Lecco</t>
  </si>
  <si>
    <t>Livorno</t>
  </si>
  <si>
    <t>Lodi</t>
  </si>
  <si>
    <t>LO</t>
  </si>
  <si>
    <t>Lucca</t>
  </si>
  <si>
    <t>Macerata</t>
  </si>
  <si>
    <t>Mantova</t>
  </si>
  <si>
    <t>Massa-Carrara</t>
  </si>
  <si>
    <t>Matera</t>
  </si>
  <si>
    <t>Medio Campidano</t>
  </si>
  <si>
    <t>VS</t>
  </si>
  <si>
    <t>Messina</t>
  </si>
  <si>
    <t>Milano</t>
  </si>
  <si>
    <t>MI</t>
  </si>
  <si>
    <t>Modena</t>
  </si>
  <si>
    <t>MO</t>
  </si>
  <si>
    <t>Monza e della Brianza</t>
  </si>
  <si>
    <t>Napoli</t>
  </si>
  <si>
    <t>Novara</t>
  </si>
  <si>
    <t>Nuoro</t>
  </si>
  <si>
    <t>Ogliastra</t>
  </si>
  <si>
    <t>OG</t>
  </si>
  <si>
    <t>Olbia-Tempio</t>
  </si>
  <si>
    <t>OT</t>
  </si>
  <si>
    <t>Oristano</t>
  </si>
  <si>
    <t>OR</t>
  </si>
  <si>
    <t>Padova</t>
  </si>
  <si>
    <t>PD</t>
  </si>
  <si>
    <t>Palermo</t>
  </si>
  <si>
    <t>Parma</t>
  </si>
  <si>
    <t>Pavia</t>
  </si>
  <si>
    <t>PV</t>
  </si>
  <si>
    <t>Perugia</t>
  </si>
  <si>
    <t>Pesaro e Urbino</t>
  </si>
  <si>
    <t>PU</t>
  </si>
  <si>
    <t>Pescara</t>
  </si>
  <si>
    <t>Piacenza</t>
  </si>
  <si>
    <t>PC</t>
  </si>
  <si>
    <t>Pisa</t>
  </si>
  <si>
    <t>Pistoia</t>
  </si>
  <si>
    <t>Pordenone</t>
  </si>
  <si>
    <t>Potenza</t>
  </si>
  <si>
    <t>PZ</t>
  </si>
  <si>
    <t>Prato</t>
  </si>
  <si>
    <t>PO</t>
  </si>
  <si>
    <t>Ragusa</t>
  </si>
  <si>
    <t>RG</t>
  </si>
  <si>
    <t>Ravenna</t>
  </si>
  <si>
    <t>RA</t>
  </si>
  <si>
    <t>Reggio Calabria</t>
  </si>
  <si>
    <t>RC</t>
  </si>
  <si>
    <t>Reggio Emilia</t>
  </si>
  <si>
    <t>Rieti</t>
  </si>
  <si>
    <t>RI</t>
  </si>
  <si>
    <t>Rimini</t>
  </si>
  <si>
    <t>Roma</t>
  </si>
  <si>
    <t>RM</t>
  </si>
  <si>
    <t>Rovigo</t>
  </si>
  <si>
    <t>Salerno</t>
  </si>
  <si>
    <t>Sassari</t>
  </si>
  <si>
    <t>SS</t>
  </si>
  <si>
    <t>Savona</t>
  </si>
  <si>
    <t>Siena</t>
  </si>
  <si>
    <t>Siracusa</t>
  </si>
  <si>
    <t>Sondrio</t>
  </si>
  <si>
    <t>Taranto</t>
  </si>
  <si>
    <t>TA</t>
  </si>
  <si>
    <t>Teramo</t>
  </si>
  <si>
    <t>TE</t>
  </si>
  <si>
    <t>Terni</t>
  </si>
  <si>
    <t>TR</t>
  </si>
  <si>
    <t>Torino</t>
  </si>
  <si>
    <t>Trapani</t>
  </si>
  <si>
    <t>TP</t>
  </si>
  <si>
    <t>Trento</t>
  </si>
  <si>
    <t>Treviso</t>
  </si>
  <si>
    <t>Trieste</t>
  </si>
  <si>
    <t>TS</t>
  </si>
  <si>
    <t>Udine</t>
  </si>
  <si>
    <t>UD</t>
  </si>
  <si>
    <t>Varese</t>
  </si>
  <si>
    <t>Venezia</t>
  </si>
  <si>
    <t>Verbano-Cusio-Ossola</t>
  </si>
  <si>
    <t>VB</t>
  </si>
  <si>
    <t>Vercelli</t>
  </si>
  <si>
    <t>Verona</t>
  </si>
  <si>
    <t>VR</t>
  </si>
  <si>
    <t>Vibo Valentia</t>
  </si>
  <si>
    <t>VV</t>
  </si>
  <si>
    <t>Vicenza</t>
  </si>
  <si>
    <t>VI</t>
  </si>
  <si>
    <t>Viterbo</t>
  </si>
  <si>
    <t>VT</t>
  </si>
  <si>
    <t>Japan</t>
  </si>
  <si>
    <t>Aichi</t>
  </si>
  <si>
    <t>AICHI-KEN</t>
  </si>
  <si>
    <t>Prefecture</t>
  </si>
  <si>
    <t>Akita</t>
  </si>
  <si>
    <t>AKITA-KEN</t>
  </si>
  <si>
    <t>Aomori</t>
  </si>
  <si>
    <t>AOMORI-KEN</t>
  </si>
  <si>
    <t>Chiba</t>
  </si>
  <si>
    <t>CHIBA-KEN</t>
  </si>
  <si>
    <t>Ehime</t>
  </si>
  <si>
    <t>EHIME-KEN</t>
  </si>
  <si>
    <t>Fukui</t>
  </si>
  <si>
    <t>FUKUI-KEN</t>
  </si>
  <si>
    <t>Fukuoka</t>
  </si>
  <si>
    <t>FUKUOKA-KEN</t>
  </si>
  <si>
    <t>Fukushima</t>
  </si>
  <si>
    <t>FUKUSHIMA-KEN</t>
  </si>
  <si>
    <t>Gifu</t>
  </si>
  <si>
    <t>GIFU-KEN</t>
  </si>
  <si>
    <t>Gunma</t>
  </si>
  <si>
    <t>GUNMA-KEN</t>
  </si>
  <si>
    <t>Hiroshima</t>
  </si>
  <si>
    <t>HIROSHIMA-KEN</t>
  </si>
  <si>
    <t>Hokkaido</t>
  </si>
  <si>
    <t>HOKKAIDO</t>
  </si>
  <si>
    <t>Hyogo</t>
  </si>
  <si>
    <t>HYOGO-KEN</t>
  </si>
  <si>
    <t>Ibaraki</t>
  </si>
  <si>
    <t>IBARAKI-KEN</t>
  </si>
  <si>
    <t>Ishikawa</t>
  </si>
  <si>
    <t>ISHIKAWA-KEN</t>
  </si>
  <si>
    <t>Iwate</t>
  </si>
  <si>
    <t>IWATE-KEN</t>
  </si>
  <si>
    <t>Kagawa</t>
  </si>
  <si>
    <t>KAGAWA-KEN</t>
  </si>
  <si>
    <t>Kagoshima</t>
  </si>
  <si>
    <t>KAGOSHIMA-KEN</t>
  </si>
  <si>
    <t>Kanagawa</t>
  </si>
  <si>
    <t>KANAGAWA-KEN</t>
  </si>
  <si>
    <t>Kochi</t>
  </si>
  <si>
    <t>KOCHI-KEN</t>
  </si>
  <si>
    <t>Kumamoto</t>
  </si>
  <si>
    <t>KUMAMOTO-KEN</t>
  </si>
  <si>
    <t>Kyoto</t>
  </si>
  <si>
    <t>KYOTO-FU</t>
  </si>
  <si>
    <t>Mie</t>
  </si>
  <si>
    <t>MIE-KEN</t>
  </si>
  <si>
    <t>Miyagi</t>
  </si>
  <si>
    <t>MIYAGI-KEN</t>
  </si>
  <si>
    <t>Miyazaki</t>
  </si>
  <si>
    <t>MIYAZAKI-KEN</t>
  </si>
  <si>
    <t>Nagano</t>
  </si>
  <si>
    <t>NAGANO-KEN</t>
  </si>
  <si>
    <t>Nagasaki</t>
  </si>
  <si>
    <t>NAGASAKI-KEN</t>
  </si>
  <si>
    <t>Nara</t>
  </si>
  <si>
    <t>NARA-KEN</t>
  </si>
  <si>
    <t>Niigata</t>
  </si>
  <si>
    <t>NIIGATA-KEN</t>
  </si>
  <si>
    <t>Oita</t>
  </si>
  <si>
    <t>OITA-KEN</t>
  </si>
  <si>
    <t>Okayama</t>
  </si>
  <si>
    <t>OKAYAMA-KEN</t>
  </si>
  <si>
    <t>Okinawa</t>
  </si>
  <si>
    <t>OKINAWA-KEN</t>
  </si>
  <si>
    <t>Osaka</t>
  </si>
  <si>
    <t>OSAKA-FU</t>
  </si>
  <si>
    <t>Saga</t>
  </si>
  <si>
    <t>SAGA-KEN</t>
  </si>
  <si>
    <t>Saitama</t>
  </si>
  <si>
    <t>SAITAMA-KEN</t>
  </si>
  <si>
    <t>Shiga</t>
  </si>
  <si>
    <t>SHIGA-KEN</t>
  </si>
  <si>
    <t>Shimane</t>
  </si>
  <si>
    <t>SHIMANE-KEN</t>
  </si>
  <si>
    <t>Shizuoka</t>
  </si>
  <si>
    <t>SHIZUOKA-KEN</t>
  </si>
  <si>
    <t>Tochigi</t>
  </si>
  <si>
    <t>TOCHIGI-KEN</t>
  </si>
  <si>
    <t>Tokushima</t>
  </si>
  <si>
    <t>TOKUSHIMA-KEN</t>
  </si>
  <si>
    <t>Tokyo</t>
  </si>
  <si>
    <t>TOKYO-TO</t>
  </si>
  <si>
    <t>Tottori</t>
  </si>
  <si>
    <t>TOTTORI-KEN</t>
  </si>
  <si>
    <t>Toyama</t>
  </si>
  <si>
    <t>TOYAMA-KEN</t>
  </si>
  <si>
    <t>Wakayama</t>
  </si>
  <si>
    <t>WAKAYAMA-KEN</t>
  </si>
  <si>
    <t>Yamagata</t>
  </si>
  <si>
    <t>YAMAGATA-KEN</t>
  </si>
  <si>
    <t>Yamaguchi</t>
  </si>
  <si>
    <t>YAMAGUCHI-KEN</t>
  </si>
  <si>
    <t>Yamanashi</t>
  </si>
  <si>
    <t>YAMANASHI-KEN</t>
  </si>
  <si>
    <t>Mexico</t>
  </si>
  <si>
    <t>Aguascalientes</t>
  </si>
  <si>
    <t>AGS</t>
  </si>
  <si>
    <t>Baja California</t>
  </si>
  <si>
    <t>Baja California Sur</t>
  </si>
  <si>
    <t>BCS</t>
  </si>
  <si>
    <t>Campeche</t>
  </si>
  <si>
    <t>CAMP</t>
  </si>
  <si>
    <t>Chiapas</t>
  </si>
  <si>
    <t>CHIS</t>
  </si>
  <si>
    <t>Chihuahua</t>
  </si>
  <si>
    <t>CHIH</t>
  </si>
  <si>
    <t>Ciudad de México</t>
  </si>
  <si>
    <t>CDMX</t>
  </si>
  <si>
    <t>Coahuila</t>
  </si>
  <si>
    <t>COAH</t>
  </si>
  <si>
    <t>Colima</t>
  </si>
  <si>
    <t>COL</t>
  </si>
  <si>
    <t>Durango</t>
  </si>
  <si>
    <t>DGO</t>
  </si>
  <si>
    <t>Estado de México</t>
  </si>
  <si>
    <t>MEX</t>
  </si>
  <si>
    <t>Guanajuato</t>
  </si>
  <si>
    <t>GTO</t>
  </si>
  <si>
    <t>Guerrero</t>
  </si>
  <si>
    <t>GRO</t>
  </si>
  <si>
    <t>Hidalgo</t>
  </si>
  <si>
    <t>HGO</t>
  </si>
  <si>
    <t>Jalisco</t>
  </si>
  <si>
    <t>JAL</t>
  </si>
  <si>
    <t>Michoacán</t>
  </si>
  <si>
    <t>MICH</t>
  </si>
  <si>
    <t>Morelos</t>
  </si>
  <si>
    <t>MOR</t>
  </si>
  <si>
    <t>Nayarit</t>
  </si>
  <si>
    <t>NAY</t>
  </si>
  <si>
    <t>Nuevo León</t>
  </si>
  <si>
    <t>Oaxaca</t>
  </si>
  <si>
    <t>OAX</t>
  </si>
  <si>
    <t>Puebla</t>
  </si>
  <si>
    <t>PUE</t>
  </si>
  <si>
    <t>Querétaro</t>
  </si>
  <si>
    <t>QRO</t>
  </si>
  <si>
    <t>Quintana Roo</t>
  </si>
  <si>
    <t>Q ROO</t>
  </si>
  <si>
    <t>San Luis Potosí</t>
  </si>
  <si>
    <t>SLP</t>
  </si>
  <si>
    <t>Sinaloa</t>
  </si>
  <si>
    <t>SIN</t>
  </si>
  <si>
    <t>Sonora</t>
  </si>
  <si>
    <t>SON</t>
  </si>
  <si>
    <t>Tabasco</t>
  </si>
  <si>
    <t>TAB</t>
  </si>
  <si>
    <t>Tamaulipas</t>
  </si>
  <si>
    <t>TAMPS</t>
  </si>
  <si>
    <t>Tlaxcala</t>
  </si>
  <si>
    <t>TLAX</t>
  </si>
  <si>
    <t>Veracruz</t>
  </si>
  <si>
    <t>VER</t>
  </si>
  <si>
    <t>Yucatán</t>
  </si>
  <si>
    <t>YUC</t>
  </si>
  <si>
    <t>Zacatecas</t>
  </si>
  <si>
    <t>ZAC</t>
  </si>
  <si>
    <t>FriendlyName</t>
  </si>
  <si>
    <t>Albania</t>
  </si>
  <si>
    <t>Algeria</t>
  </si>
  <si>
    <t>Andorra</t>
  </si>
  <si>
    <t>Angola</t>
  </si>
  <si>
    <t>Anguilla</t>
  </si>
  <si>
    <t>Antigua &amp; Barbuda</t>
  </si>
  <si>
    <t>Armenia</t>
  </si>
  <si>
    <t>Aruba</t>
  </si>
  <si>
    <t>Australia</t>
  </si>
  <si>
    <t>Austria</t>
  </si>
  <si>
    <t>Azerbaijan</t>
  </si>
  <si>
    <t>Bahamas</t>
  </si>
  <si>
    <t>Bahrain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</si>
  <si>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</si>
  <si>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</si>
  <si>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</si>
  <si>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</si>
  <si>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</si>
  <si>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</si>
  <si>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</si>
  <si>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</si>
  <si>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&amp; Herzegovina</t>
  </si>
  <si>
    <t>Botswana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</si>
  <si>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</si>
  <si>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</si>
  <si>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</si>
  <si>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</si>
  <si>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</si>
  <si>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</si>
  <si>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</si>
  <si>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Cape Verde</t>
  </si>
  <si>
    <t>Cayman Islands</t>
  </si>
  <si>
    <t>Chad</t>
  </si>
  <si>
    <t>Chile</t>
  </si>
  <si>
    <t>Colombia</t>
  </si>
  <si>
    <t>Comoros</t>
  </si>
  <si>
    <t>Congo - Brazzaville</t>
  </si>
  <si>
    <t>Congo - Kinshasa</t>
  </si>
  <si>
    <t>Cook Islands</t>
  </si>
  <si>
    <t>Costa Rica</t>
  </si>
  <si>
    <t>Côte D’Ivoire</t>
  </si>
  <si>
    <t>Croatia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</si>
  <si>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</si>
  <si>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</si>
  <si>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</si>
  <si>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</si>
  <si>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</si>
  <si>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</si>
  <si>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</si>
  <si>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</si>
  <si>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</si>
  <si>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Eritrea</t>
  </si>
  <si>
    <t>Estonia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</si>
  <si>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</si>
  <si>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</si>
  <si>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</si>
  <si>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</si>
  <si>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</si>
  <si>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</si>
  <si>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</si>
  <si>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</si>
  <si>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</si>
  <si>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</si>
  <si>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</si>
  <si>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</si>
  <si>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Gibraltar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</si>
  <si>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</si>
  <si>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</si>
  <si>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</si>
  <si>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</si>
  <si>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</si>
  <si>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</si>
  <si>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</si>
  <si>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</si>
  <si>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</si>
  <si>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 Sar China</t>
  </si>
  <si>
    <t>Hungary</t>
  </si>
  <si>
    <t>Iceland</t>
  </si>
  <si>
    <t>Ireland</t>
  </si>
  <si>
    <t>Israel</t>
  </si>
  <si>
    <t>Jamaica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</si>
  <si>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</si>
  <si>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</si>
  <si>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</si>
  <si>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</si>
  <si>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</si>
  <si>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</si>
  <si>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</si>
  <si>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</si>
  <si>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</si>
  <si>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</si>
  <si>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</si>
  <si>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</si>
  <si>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</si>
  <si>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</si>
  <si>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</si>
  <si>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</si>
  <si>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</si>
  <si>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</si>
  <si>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</si>
  <si>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</si>
  <si>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</si>
  <si>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</si>
  <si>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</si>
  <si>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</si>
  <si>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</si>
  <si>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</si>
  <si>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</si>
  <si>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</si>
  <si>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</si>
  <si>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</si>
  <si>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</si>
  <si>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</si>
  <si>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</si>
  <si>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</si>
  <si>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</si>
  <si>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</si>
  <si>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</si>
  <si>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</si>
  <si>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</si>
  <si>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</si>
  <si>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</si>
  <si>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</si>
  <si>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</si>
  <si>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Norway</t>
  </si>
  <si>
    <t>Oman</t>
  </si>
  <si>
    <t>Palau</t>
  </si>
  <si>
    <t>Panama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</si>
  <si>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</si>
  <si>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</si>
  <si>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</si>
  <si>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</si>
  <si>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</si>
  <si>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</si>
  <si>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</si>
  <si>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Qatar</t>
  </si>
  <si>
    <t>Réunion</t>
  </si>
  <si>
    <t>Romania</t>
  </si>
  <si>
    <t>Russia</t>
  </si>
  <si>
    <t>Rwanda</t>
  </si>
  <si>
    <t>Samoa</t>
  </si>
  <si>
    <t>San Marino</t>
  </si>
  <si>
    <t>São Tomé &amp; Príncipe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</si>
  <si>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</si>
  <si>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</si>
  <si>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</si>
  <si>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</si>
  <si>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</si>
  <si>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</si>
  <si>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</si>
  <si>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</si>
  <si>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</si>
  <si>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</si>
  <si>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</si>
  <si>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</si>
  <si>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Spain</t>
  </si>
  <si>
    <t>Sri Lanka</t>
  </si>
  <si>
    <t>St. Helena</t>
  </si>
  <si>
    <t>St. Kitts &amp; Nevis</t>
  </si>
  <si>
    <t>St. Lucia</t>
  </si>
  <si>
    <t>St. Pierre &amp; Miquelon</t>
  </si>
  <si>
    <t>St. Vincent &amp; Grenadines</t>
  </si>
  <si>
    <t>Suriname</t>
  </si>
  <si>
    <t>Svalbard &amp; Jan Mayen</t>
  </si>
  <si>
    <t>Swaziland</t>
  </si>
  <si>
    <t>Sweden</t>
  </si>
  <si>
    <t>Switzerland</t>
  </si>
  <si>
    <t>Taiwan</t>
  </si>
  <si>
    <t>Tajikistan</t>
  </si>
  <si>
    <t>Tanzania</t>
  </si>
  <si>
    <t>Thailand</t>
  </si>
  <si>
    <t>Togo</t>
  </si>
  <si>
    <t>Tonga</t>
  </si>
  <si>
    <t>Trinidad &amp; Tobago</t>
  </si>
  <si>
    <t>Tunisia</t>
  </si>
  <si>
    <t>Turkmenistan</t>
  </si>
  <si>
    <t>Turks &amp;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</si>
  <si>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</si>
  <si>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</si>
  <si>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</si>
  <si>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</si>
  <si>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</si>
  <si>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</si>
  <si>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</si>
  <si>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Vanuatu</t>
  </si>
  <si>
    <t>Vatican City</t>
  </si>
  <si>
    <t>Venezuela</t>
  </si>
  <si>
    <t>Vietnam</t>
  </si>
  <si>
    <t>Wallis &amp; Futuna</t>
  </si>
  <si>
    <t>Yemen</t>
  </si>
  <si>
    <t>Zambia</t>
  </si>
  <si>
    <t>Zimbabwe</t>
  </si>
  <si>
    <t>CountryId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</si>
</sst>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1E2021"/>
      <name val="Arial"/>
      <family val="2"/>
    </font>
    <font>
      <sz val="11"/>
      <color rgb="FF1E2021"/>
      <name val="Arial"/>
      <family val="2"/>
    </font>
    <font>
      <sz val="10"/>
      <color rgb="FF1E202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1E2021"/>
      </bottom>
      <diagonal/>
    </border>
    <border>
      <left/>
      <right/>
      <top/>
      <bottom style="medium">
        <color rgb="FFE4E4E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2"/>
  <sheetViews>
    <sheetView workbookViewId="0">
      <selection activeCell="E2" sqref="E2"/>
    </sheetView>
  </sheetViews>
  <sheetFormatPr defaultRowHeight="15" x14ac:dyDescent="0.25"/>
  <cols>
    <col min="1" max="1" width="12.42578125" customWidth="1"/>
    <col min="2" max="2" width="20.28515625" customWidth="1"/>
  </cols>
  <sheetData>
    <row r="1" spans="1:5" ht="30.75" thickBot="1" x14ac:dyDescent="0.3">
      <c r="A1" t="s">
        <v>404</v>
      </c>
      <c r="B1" s="1" t="s">
        <v>402</v>
      </c>
      <c r="C1" s="1" t="s">
        <v>403</v>
      </c>
      <c r="D1" t="s">
        <v>1054</v>
      </c>
    </row>
    <row r="2" spans="1:5" ht="16.5" thickTop="1" thickBot="1" x14ac:dyDescent="0.3">
      <c r="A2">
        <v>1</v>
      </c>
      <c r="B2" s="2" t="s">
        <v>0</v>
      </c>
      <c r="C2" s="3" t="s">
        <v>1</v>
      </c>
      <c r="D2" t="s">
        <v>1055</v>
      </c>
      <c r="E2" t="str">
        <f>"new Models.Country() {Name = """&amp;B2&amp;""", Code =  """&amp;C2&amp;""", Id ="&amp;A2&amp;"},"</f>
        <v>new Models.Country() {Name = "ALBANIA", Code =  "AL", Id =1},</v>
      </c>
    </row>
    <row r="3" spans="1:5" ht="15.75" thickBot="1" x14ac:dyDescent="0.3">
      <c r="A3">
        <f>A2+1</f>
        <v>2</v>
      </c>
      <c r="B3" s="2" t="s">
        <v>2</v>
      </c>
      <c r="C3" s="3" t="s">
        <v>3</v>
      </c>
      <c r="D3" t="s">
        <v>1056</v>
      </c>
      <c r="E3" t="str">
        <f t="shared" ref="E3:E66" si="0">"new Models.Country() {Name = """&amp;B3&amp;""", Code =  """&amp;C3&amp;""", Id ="&amp;A3&amp;"},"</f>
        <v>new Models.Country() {Name = "ALGERIA", Code =  "DZ", Id =2},</v>
      </c>
    </row>
    <row r="4" spans="1:5" ht="15.75" thickBot="1" x14ac:dyDescent="0.3">
      <c r="A4">
        <f t="shared" ref="A4:A67" si="1">A3+1</f>
        <v>3</v>
      </c>
      <c r="B4" s="2" t="s">
        <v>4</v>
      </c>
      <c r="C4" s="3" t="s">
        <v>5</v>
      </c>
      <c r="D4" t="s">
        <v>1057</v>
      </c>
      <c r="E4" t="str">
        <f t="shared" si="0"/>
        <v>new Models.Country() {Name = "ANDORRA", Code =  "AD", Id =3},</v>
      </c>
    </row>
    <row r="5" spans="1:5" ht="15.75" thickBot="1" x14ac:dyDescent="0.3">
      <c r="A5">
        <f t="shared" si="1"/>
        <v>4</v>
      </c>
      <c r="B5" s="2" t="s">
        <v>6</v>
      </c>
      <c r="C5" s="3" t="s">
        <v>7</v>
      </c>
      <c r="D5" t="s">
        <v>1058</v>
      </c>
      <c r="E5" t="str">
        <f t="shared" si="0"/>
        <v>new Models.Country() {Name = "ANGOLA", Code =  "AO", Id =4},</v>
      </c>
    </row>
    <row r="6" spans="1:5" ht="15.75" thickBot="1" x14ac:dyDescent="0.3">
      <c r="A6">
        <f t="shared" si="1"/>
        <v>5</v>
      </c>
      <c r="B6" s="2" t="s">
        <v>8</v>
      </c>
      <c r="C6" s="3" t="s">
        <v>9</v>
      </c>
      <c r="D6" t="s">
        <v>1059</v>
      </c>
      <c r="E6" t="str">
        <f t="shared" si="0"/>
        <v>new Models.Country() {Name = "ANGUILLA", Code =  "AI", Id =5},</v>
      </c>
    </row>
    <row r="7" spans="1:5" ht="29.25" thickBot="1" x14ac:dyDescent="0.3">
      <c r="A7">
        <f t="shared" si="1"/>
        <v>6</v>
      </c>
      <c r="B7" s="2" t="s">
        <v>10</v>
      </c>
      <c r="C7" s="3" t="s">
        <v>11</v>
      </c>
      <c r="D7" t="s">
        <v>1060</v>
      </c>
      <c r="E7" t="str">
        <f t="shared" si="0"/>
        <v>new Models.Country() {Name = "ANTIGUA &amp; BARBUDA", Code =  "AG", Id =6},</v>
      </c>
    </row>
    <row r="8" spans="1:5" ht="15.75" thickBot="1" x14ac:dyDescent="0.3">
      <c r="A8">
        <f t="shared" si="1"/>
        <v>7</v>
      </c>
      <c r="B8" s="2" t="s">
        <v>12</v>
      </c>
      <c r="C8" s="3" t="s">
        <v>13</v>
      </c>
      <c r="D8" t="s">
        <v>409</v>
      </c>
      <c r="E8" t="str">
        <f t="shared" si="0"/>
        <v>new Models.Country() {Name = "ARGENTINA", Code =  "AR", Id =7},</v>
      </c>
    </row>
    <row r="9" spans="1:5" ht="15.75" thickBot="1" x14ac:dyDescent="0.3">
      <c r="A9">
        <f t="shared" si="1"/>
        <v>8</v>
      </c>
      <c r="B9" s="2" t="s">
        <v>14</v>
      </c>
      <c r="C9" s="3" t="s">
        <v>15</v>
      </c>
      <c r="D9" t="s">
        <v>1061</v>
      </c>
      <c r="E9" t="str">
        <f t="shared" si="0"/>
        <v>new Models.Country() {Name = "ARMENIA", Code =  "AM", Id =8},</v>
      </c>
    </row>
    <row r="10" spans="1:5" ht="15.75" thickBot="1" x14ac:dyDescent="0.3">
      <c r="A10">
        <f t="shared" si="1"/>
        <v>9</v>
      </c>
      <c r="B10" s="2" t="s">
        <v>16</v>
      </c>
      <c r="C10" s="3" t="s">
        <v>17</v>
      </c>
      <c r="D10" t="s">
        <v>1062</v>
      </c>
      <c r="E10" t="str">
        <f t="shared" si="0"/>
        <v>new Models.Country() {Name = "ARUBA", Code =  "AW", Id =9},</v>
      </c>
    </row>
    <row r="11" spans="1:5" ht="15.75" thickBot="1" x14ac:dyDescent="0.3">
      <c r="A11">
        <f t="shared" si="1"/>
        <v>10</v>
      </c>
      <c r="B11" s="2" t="s">
        <v>18</v>
      </c>
      <c r="C11" s="3" t="s">
        <v>19</v>
      </c>
      <c r="D11" t="s">
        <v>1063</v>
      </c>
      <c r="E11" t="str">
        <f t="shared" si="0"/>
        <v>new Models.Country() {Name = "AUSTRALIA", Code =  "AU", Id =10},</v>
      </c>
    </row>
    <row r="12" spans="1:5" ht="15.75" thickBot="1" x14ac:dyDescent="0.3">
      <c r="A12">
        <f t="shared" si="1"/>
        <v>11</v>
      </c>
      <c r="B12" s="2" t="s">
        <v>20</v>
      </c>
      <c r="C12" s="3" t="s">
        <v>21</v>
      </c>
      <c r="D12" t="s">
        <v>1064</v>
      </c>
      <c r="E12" t="str">
        <f t="shared" si="0"/>
        <v>new Models.Country() {Name = "AUSTRIA", Code =  "AT", Id =11},</v>
      </c>
    </row>
    <row r="13" spans="1:5" ht="15.75" thickBot="1" x14ac:dyDescent="0.3">
      <c r="A13">
        <f t="shared" si="1"/>
        <v>12</v>
      </c>
      <c r="B13" s="2" t="s">
        <v>22</v>
      </c>
      <c r="C13" s="3" t="s">
        <v>23</v>
      </c>
      <c r="D13" t="s">
        <v>1065</v>
      </c>
      <c r="E13" t="str">
        <f t="shared" si="0"/>
        <v>new Models.Country() {Name = "AZERBAIJAN", Code =  "AZ", Id =12},</v>
      </c>
    </row>
    <row r="14" spans="1:5" ht="15.75" thickBot="1" x14ac:dyDescent="0.3">
      <c r="A14">
        <f t="shared" si="1"/>
        <v>13</v>
      </c>
      <c r="B14" s="2" t="s">
        <v>24</v>
      </c>
      <c r="C14" s="3" t="s">
        <v>25</v>
      </c>
      <c r="D14" t="s">
        <v>1066</v>
      </c>
      <c r="E14" t="str">
        <f t="shared" si="0"/>
        <v>new Models.Country() {Name = "BAHAMAS", Code =  "BS", Id =13},</v>
      </c>
    </row>
    <row r="15" spans="1:5" ht="15.75" thickBot="1" x14ac:dyDescent="0.3">
      <c r="A15">
        <f t="shared" si="1"/>
        <v>14</v>
      </c>
      <c r="B15" s="2" t="s">
        <v>26</v>
      </c>
      <c r="C15" s="3" t="s">
        <v>27</v>
      </c>
      <c r="D15" t="s">
        <v>1067</v>
      </c>
      <c r="E15" t="str">
        <f t="shared" si="0"/>
        <v>new Models.Country() {Name = "BAHRAIN", Code =  "BH", Id =14},</v>
      </c>
    </row>
    <row r="16" spans="1:5" ht="15.75" thickBot="1" x14ac:dyDescent="0.3">
      <c r="A16">
        <f t="shared" si="1"/>
        <v>15</v>
      </c>
      <c r="B16" s="2" t="s">
        <v>28</v>
      </c>
      <c r="C16" s="3" t="s">
        <v>29</v>
      </c>
      <c r="D16" t="s">
        <v>1068</v>
      </c>
      <c r="E16" t="str">
        <f t="shared" si="0"/>
        <v>new Models.Country() {Name = "BARBADOS", Code =  "BB", Id =15},</v>
      </c>
    </row>
    <row r="17" spans="1:5" ht="15.75" thickBot="1" x14ac:dyDescent="0.3">
      <c r="A17">
        <f t="shared" si="1"/>
        <v>16</v>
      </c>
      <c r="B17" s="2" t="s">
        <v>30</v>
      </c>
      <c r="C17" s="3" t="s">
        <v>31</v>
      </c>
      <c r="D17" t="s">
        <v>1069</v>
      </c>
      <c r="E17" t="str">
        <f t="shared" si="0"/>
        <v>new Models.Country() {Name = "BELARUS", Code =  "BY", Id =16},</v>
      </c>
    </row>
    <row r="18" spans="1:5" ht="15.75" thickBot="1" x14ac:dyDescent="0.3">
      <c r="A18">
        <f t="shared" si="1"/>
        <v>17</v>
      </c>
      <c r="B18" s="2" t="s">
        <v>32</v>
      </c>
      <c r="C18" s="3" t="s">
        <v>33</v>
      </c>
      <c r="D18" t="s">
        <v>1070</v>
      </c>
      <c r="E18" t="str">
        <f t="shared" si="0"/>
        <v>new Models.Country() {Name = "BELGIUM", Code =  "BE", Id =17},</v>
      </c>
    </row>
    <row r="19" spans="1:5" ht="15.75" thickBot="1" x14ac:dyDescent="0.3">
      <c r="A19">
        <f t="shared" si="1"/>
        <v>18</v>
      </c>
      <c r="B19" s="2" t="s">
        <v>34</v>
      </c>
      <c r="C19" s="3" t="s">
        <v>35</v>
      </c>
      <c r="D19" t="s">
        <v>1071</v>
      </c>
      <c r="E19" t="str">
        <f t="shared" si="0"/>
        <v>new Models.Country() {Name = "BELIZE", Code =  "BZ", Id =18},</v>
      </c>
    </row>
    <row r="20" spans="1:5" ht="15.75" thickBot="1" x14ac:dyDescent="0.3">
      <c r="A20">
        <f t="shared" si="1"/>
        <v>19</v>
      </c>
      <c r="B20" s="2" t="s">
        <v>36</v>
      </c>
      <c r="C20" s="3" t="s">
        <v>37</v>
      </c>
      <c r="D20" t="s">
        <v>1072</v>
      </c>
      <c r="E20" t="str">
        <f t="shared" si="0"/>
        <v>new Models.Country() {Name = "BENIN", Code =  "BJ", Id =19},</v>
      </c>
    </row>
    <row r="21" spans="1:5" ht="15.75" thickBot="1" x14ac:dyDescent="0.3">
      <c r="A21">
        <f t="shared" si="1"/>
        <v>20</v>
      </c>
      <c r="B21" s="2" t="s">
        <v>38</v>
      </c>
      <c r="C21" s="3" t="s">
        <v>39</v>
      </c>
      <c r="D21" t="s">
        <v>1073</v>
      </c>
      <c r="E21" t="str">
        <f t="shared" si="0"/>
        <v>new Models.Country() {Name = "BERMUDA", Code =  "BM", Id =20},</v>
      </c>
    </row>
    <row r="22" spans="1:5" ht="15.75" thickBot="1" x14ac:dyDescent="0.3">
      <c r="A22">
        <f t="shared" si="1"/>
        <v>21</v>
      </c>
      <c r="B22" s="2" t="s">
        <v>40</v>
      </c>
      <c r="C22" s="3" t="s">
        <v>41</v>
      </c>
      <c r="D22" t="s">
        <v>1074</v>
      </c>
      <c r="E22" t="str">
        <f t="shared" si="0"/>
        <v>new Models.Country() {Name = "BHUTAN", Code =  "BT", Id =21},</v>
      </c>
    </row>
    <row r="23" spans="1:5" ht="15.75" thickBot="1" x14ac:dyDescent="0.3">
      <c r="A23">
        <f t="shared" si="1"/>
        <v>22</v>
      </c>
      <c r="B23" s="2" t="s">
        <v>42</v>
      </c>
      <c r="C23" s="3" t="s">
        <v>43</v>
      </c>
      <c r="D23" t="s">
        <v>1075</v>
      </c>
      <c r="E23" t="str">
        <f t="shared" si="0"/>
        <v>new Models.Country() {Name = "BOLIVIA", Code =  "BO", Id =22},</v>
      </c>
    </row>
    <row r="24" spans="1:5" ht="29.25" thickBot="1" x14ac:dyDescent="0.3">
      <c r="A24">
        <f t="shared" si="1"/>
        <v>23</v>
      </c>
      <c r="B24" s="2" t="s">
        <v>44</v>
      </c>
      <c r="C24" s="3" t="s">
        <v>45</v>
      </c>
      <c r="D24" t="s">
        <v>1076</v>
      </c>
      <c r="E24" t="str">
        <f t="shared" si="0"/>
        <v>new Models.Country() {Name = "BOSNIA &amp; HERZEGOVINA", Code =  "BA", Id =23},</v>
      </c>
    </row>
    <row r="25" spans="1:5" ht="15.75" thickBot="1" x14ac:dyDescent="0.3">
      <c r="A25">
        <f t="shared" si="1"/>
        <v>24</v>
      </c>
      <c r="B25" s="2" t="s">
        <v>46</v>
      </c>
      <c r="C25" s="3" t="s">
        <v>47</v>
      </c>
      <c r="D25" t="s">
        <v>1077</v>
      </c>
      <c r="E25" t="str">
        <f t="shared" si="0"/>
        <v>new Models.Country() {Name = "BOTSWANA", Code =  "BW", Id =24},</v>
      </c>
    </row>
    <row r="26" spans="1:5" ht="15.75" thickBot="1" x14ac:dyDescent="0.3">
      <c r="A26">
        <f t="shared" si="1"/>
        <v>25</v>
      </c>
      <c r="B26" s="2" t="s">
        <v>48</v>
      </c>
      <c r="C26" s="3" t="s">
        <v>49</v>
      </c>
      <c r="D26" t="s">
        <v>459</v>
      </c>
      <c r="E26" t="str">
        <f t="shared" si="0"/>
        <v>new Models.Country() {Name = "BRAZIL", Code =  "BR", Id =25},</v>
      </c>
    </row>
    <row r="27" spans="1:5" ht="29.25" thickBot="1" x14ac:dyDescent="0.3">
      <c r="A27">
        <f t="shared" si="1"/>
        <v>26</v>
      </c>
      <c r="B27" s="2" t="s">
        <v>50</v>
      </c>
      <c r="C27" s="3" t="s">
        <v>51</v>
      </c>
      <c r="D27" t="s">
        <v>1078</v>
      </c>
      <c r="E27" t="str">
        <f t="shared" si="0"/>
        <v>new Models.Country() {Name = "BRITISH VIRGIN ISLANDS", Code =  "VG", Id =26},</v>
      </c>
    </row>
    <row r="28" spans="1:5" ht="15.75" thickBot="1" x14ac:dyDescent="0.3">
      <c r="A28">
        <f t="shared" si="1"/>
        <v>27</v>
      </c>
      <c r="B28" s="2" t="s">
        <v>52</v>
      </c>
      <c r="C28" s="3" t="s">
        <v>53</v>
      </c>
      <c r="D28" t="s">
        <v>1079</v>
      </c>
      <c r="E28" t="str">
        <f t="shared" si="0"/>
        <v>new Models.Country() {Name = "BRUNEI", Code =  "BN", Id =27},</v>
      </c>
    </row>
    <row r="29" spans="1:5" ht="15.75" thickBot="1" x14ac:dyDescent="0.3">
      <c r="A29">
        <f t="shared" si="1"/>
        <v>28</v>
      </c>
      <c r="B29" s="2" t="s">
        <v>54</v>
      </c>
      <c r="C29" s="3" t="s">
        <v>55</v>
      </c>
      <c r="D29" t="s">
        <v>1080</v>
      </c>
      <c r="E29" t="str">
        <f t="shared" si="0"/>
        <v>new Models.Country() {Name = "BULGARIA", Code =  "BG", Id =28},</v>
      </c>
    </row>
    <row r="30" spans="1:5" ht="15.75" thickBot="1" x14ac:dyDescent="0.3">
      <c r="A30">
        <f t="shared" si="1"/>
        <v>29</v>
      </c>
      <c r="B30" s="2" t="s">
        <v>56</v>
      </c>
      <c r="C30" s="3" t="s">
        <v>57</v>
      </c>
      <c r="D30" t="s">
        <v>1081</v>
      </c>
      <c r="E30" t="str">
        <f t="shared" si="0"/>
        <v>new Models.Country() {Name = "BURKINA FASO", Code =  "BF", Id =29},</v>
      </c>
    </row>
    <row r="31" spans="1:5" ht="15.75" thickBot="1" x14ac:dyDescent="0.3">
      <c r="A31">
        <f t="shared" si="1"/>
        <v>30</v>
      </c>
      <c r="B31" s="2" t="s">
        <v>58</v>
      </c>
      <c r="C31" s="3" t="s">
        <v>59</v>
      </c>
      <c r="D31" t="s">
        <v>1082</v>
      </c>
      <c r="E31" t="str">
        <f t="shared" si="0"/>
        <v>new Models.Country() {Name = "BURUNDI", Code =  "BI", Id =30},</v>
      </c>
    </row>
    <row r="32" spans="1:5" ht="15.75" thickBot="1" x14ac:dyDescent="0.3">
      <c r="A32">
        <f t="shared" si="1"/>
        <v>31</v>
      </c>
      <c r="B32" s="2" t="s">
        <v>60</v>
      </c>
      <c r="C32" s="3" t="s">
        <v>61</v>
      </c>
      <c r="D32" t="s">
        <v>1083</v>
      </c>
      <c r="E32" t="str">
        <f t="shared" si="0"/>
        <v>new Models.Country() {Name = "CAMBODIA", Code =  "KH", Id =31},</v>
      </c>
    </row>
    <row r="33" spans="1:5" ht="15.75" thickBot="1" x14ac:dyDescent="0.3">
      <c r="A33">
        <f t="shared" si="1"/>
        <v>32</v>
      </c>
      <c r="B33" s="2" t="s">
        <v>62</v>
      </c>
      <c r="C33" s="3" t="s">
        <v>63</v>
      </c>
      <c r="D33" t="s">
        <v>1084</v>
      </c>
      <c r="E33" t="str">
        <f t="shared" si="0"/>
        <v>new Models.Country() {Name = "CAMEROON", Code =  "CM", Id =32},</v>
      </c>
    </row>
    <row r="34" spans="1:5" ht="15.75" thickBot="1" x14ac:dyDescent="0.3">
      <c r="A34">
        <f t="shared" si="1"/>
        <v>33</v>
      </c>
      <c r="B34" s="2" t="s">
        <v>64</v>
      </c>
      <c r="C34" s="3" t="s">
        <v>65</v>
      </c>
      <c r="D34" t="s">
        <v>500</v>
      </c>
      <c r="E34" t="str">
        <f t="shared" si="0"/>
        <v>new Models.Country() {Name = "CANADA", Code =  "CA", Id =33},</v>
      </c>
    </row>
    <row r="35" spans="1:5" ht="15.75" thickBot="1" x14ac:dyDescent="0.3">
      <c r="A35">
        <f t="shared" si="1"/>
        <v>34</v>
      </c>
      <c r="B35" s="2" t="s">
        <v>66</v>
      </c>
      <c r="C35" s="3" t="s">
        <v>67</v>
      </c>
      <c r="D35" t="s">
        <v>1085</v>
      </c>
      <c r="E35" t="str">
        <f t="shared" si="0"/>
        <v>new Models.Country() {Name = "CAPE VERDE", Code =  "CV", Id =34},</v>
      </c>
    </row>
    <row r="36" spans="1:5" ht="15.75" thickBot="1" x14ac:dyDescent="0.3">
      <c r="A36">
        <f t="shared" si="1"/>
        <v>35</v>
      </c>
      <c r="B36" s="2" t="s">
        <v>68</v>
      </c>
      <c r="C36" s="3" t="s">
        <v>69</v>
      </c>
      <c r="D36" t="s">
        <v>1086</v>
      </c>
      <c r="E36" t="str">
        <f t="shared" si="0"/>
        <v>new Models.Country() {Name = "CAYMAN ISLANDS", Code =  "KY", Id =35},</v>
      </c>
    </row>
    <row r="37" spans="1:5" ht="15.75" thickBot="1" x14ac:dyDescent="0.3">
      <c r="A37">
        <f t="shared" si="1"/>
        <v>36</v>
      </c>
      <c r="B37" s="2" t="s">
        <v>70</v>
      </c>
      <c r="C37" s="3" t="s">
        <v>71</v>
      </c>
      <c r="D37" t="s">
        <v>1087</v>
      </c>
      <c r="E37" t="str">
        <f t="shared" si="0"/>
        <v>new Models.Country() {Name = "CHAD", Code =  "TD", Id =36},</v>
      </c>
    </row>
    <row r="38" spans="1:5" ht="15.75" thickBot="1" x14ac:dyDescent="0.3">
      <c r="A38">
        <f t="shared" si="1"/>
        <v>37</v>
      </c>
      <c r="B38" s="2" t="s">
        <v>72</v>
      </c>
      <c r="C38" s="3" t="s">
        <v>73</v>
      </c>
      <c r="D38" t="s">
        <v>1088</v>
      </c>
      <c r="E38" t="str">
        <f t="shared" si="0"/>
        <v>new Models.Country() {Name = "CHILE", Code =  "CL", Id =37},</v>
      </c>
    </row>
    <row r="39" spans="1:5" ht="15.75" thickBot="1" x14ac:dyDescent="0.3">
      <c r="A39">
        <f t="shared" si="1"/>
        <v>38</v>
      </c>
      <c r="B39" s="2" t="s">
        <v>74</v>
      </c>
      <c r="C39" s="3" t="s">
        <v>75</v>
      </c>
      <c r="D39" t="s">
        <v>522</v>
      </c>
      <c r="E39" t="str">
        <f t="shared" si="0"/>
        <v>new Models.Country() {Name = "CHINA", Code =  "C2", Id =38},</v>
      </c>
    </row>
    <row r="40" spans="1:5" ht="15.75" thickBot="1" x14ac:dyDescent="0.3">
      <c r="A40">
        <f t="shared" si="1"/>
        <v>39</v>
      </c>
      <c r="B40" s="2" t="s">
        <v>76</v>
      </c>
      <c r="C40" s="3" t="s">
        <v>77</v>
      </c>
      <c r="D40" t="s">
        <v>1089</v>
      </c>
      <c r="E40" t="str">
        <f t="shared" si="0"/>
        <v>new Models.Country() {Name = "COLOMBIA", Code =  "CO", Id =39},</v>
      </c>
    </row>
    <row r="41" spans="1:5" ht="15.75" thickBot="1" x14ac:dyDescent="0.3">
      <c r="A41">
        <f t="shared" si="1"/>
        <v>40</v>
      </c>
      <c r="B41" s="2" t="s">
        <v>78</v>
      </c>
      <c r="C41" s="3" t="s">
        <v>79</v>
      </c>
      <c r="D41" t="s">
        <v>1090</v>
      </c>
      <c r="E41" t="str">
        <f t="shared" si="0"/>
        <v>new Models.Country() {Name = "COMOROS", Code =  "KM", Id =40},</v>
      </c>
    </row>
    <row r="42" spans="1:5" ht="29.25" thickBot="1" x14ac:dyDescent="0.3">
      <c r="A42">
        <f t="shared" si="1"/>
        <v>41</v>
      </c>
      <c r="B42" s="2" t="s">
        <v>80</v>
      </c>
      <c r="C42" s="3" t="s">
        <v>81</v>
      </c>
      <c r="D42" t="s">
        <v>1091</v>
      </c>
      <c r="E42" t="str">
        <f t="shared" si="0"/>
        <v>new Models.Country() {Name = "CONGO - BRAZZAVILLE", Code =  "CG", Id =41},</v>
      </c>
    </row>
    <row r="43" spans="1:5" ht="29.25" thickBot="1" x14ac:dyDescent="0.3">
      <c r="A43">
        <f t="shared" si="1"/>
        <v>42</v>
      </c>
      <c r="B43" s="2" t="s">
        <v>82</v>
      </c>
      <c r="C43" s="3" t="s">
        <v>83</v>
      </c>
      <c r="D43" t="s">
        <v>1092</v>
      </c>
      <c r="E43" t="str">
        <f t="shared" si="0"/>
        <v>new Models.Country() {Name = "CONGO - KINSHASA", Code =  "CD", Id =42},</v>
      </c>
    </row>
    <row r="44" spans="1:5" ht="15.75" thickBot="1" x14ac:dyDescent="0.3">
      <c r="A44">
        <f t="shared" si="1"/>
        <v>43</v>
      </c>
      <c r="B44" s="2" t="s">
        <v>84</v>
      </c>
      <c r="C44" s="3" t="s">
        <v>85</v>
      </c>
      <c r="D44" t="s">
        <v>1093</v>
      </c>
      <c r="E44" t="str">
        <f t="shared" si="0"/>
        <v>new Models.Country() {Name = "COOK ISLANDS", Code =  "CK", Id =43},</v>
      </c>
    </row>
    <row r="45" spans="1:5" ht="15.75" thickBot="1" x14ac:dyDescent="0.3">
      <c r="A45">
        <f t="shared" si="1"/>
        <v>44</v>
      </c>
      <c r="B45" s="2" t="s">
        <v>86</v>
      </c>
      <c r="C45" s="3" t="s">
        <v>87</v>
      </c>
      <c r="D45" t="s">
        <v>1094</v>
      </c>
      <c r="E45" t="str">
        <f t="shared" si="0"/>
        <v>new Models.Country() {Name = "COSTA RICA", Code =  "CR", Id =44},</v>
      </c>
    </row>
    <row r="46" spans="1:5" ht="15.75" thickBot="1" x14ac:dyDescent="0.3">
      <c r="A46">
        <f t="shared" si="1"/>
        <v>45</v>
      </c>
      <c r="B46" s="2" t="s">
        <v>88</v>
      </c>
      <c r="C46" s="3" t="s">
        <v>89</v>
      </c>
      <c r="D46" t="s">
        <v>1095</v>
      </c>
      <c r="E46" t="str">
        <f t="shared" si="0"/>
        <v>new Models.Country() {Name = "CÔTE D’IVOIRE", Code =  "CI", Id =45},</v>
      </c>
    </row>
    <row r="47" spans="1:5" ht="15.75" thickBot="1" x14ac:dyDescent="0.3">
      <c r="A47">
        <f t="shared" si="1"/>
        <v>46</v>
      </c>
      <c r="B47" s="2" t="s">
        <v>90</v>
      </c>
      <c r="C47" s="3" t="s">
        <v>91</v>
      </c>
      <c r="D47" t="s">
        <v>1096</v>
      </c>
      <c r="E47" t="str">
        <f t="shared" si="0"/>
        <v>new Models.Country() {Name = "CROATIA", Code =  "HR", Id =46},</v>
      </c>
    </row>
    <row r="48" spans="1:5" ht="15.75" thickBot="1" x14ac:dyDescent="0.3">
      <c r="A48">
        <f t="shared" si="1"/>
        <v>47</v>
      </c>
      <c r="B48" s="2" t="s">
        <v>92</v>
      </c>
      <c r="C48" s="3" t="s">
        <v>93</v>
      </c>
      <c r="D48" t="s">
        <v>1097</v>
      </c>
      <c r="E48" t="str">
        <f t="shared" si="0"/>
        <v>new Models.Country() {Name = "CYPRUS", Code =  "CY", Id =47},</v>
      </c>
    </row>
    <row r="49" spans="1:5" ht="15.75" thickBot="1" x14ac:dyDescent="0.3">
      <c r="A49">
        <f t="shared" si="1"/>
        <v>48</v>
      </c>
      <c r="B49" s="2" t="s">
        <v>94</v>
      </c>
      <c r="C49" s="3" t="s">
        <v>95</v>
      </c>
      <c r="D49" t="s">
        <v>1098</v>
      </c>
      <c r="E49" t="str">
        <f t="shared" si="0"/>
        <v>new Models.Country() {Name = "CZECH REPUBLIC", Code =  "CZ", Id =48},</v>
      </c>
    </row>
    <row r="50" spans="1:5" ht="15.75" thickBot="1" x14ac:dyDescent="0.3">
      <c r="A50">
        <f t="shared" si="1"/>
        <v>49</v>
      </c>
      <c r="B50" s="2" t="s">
        <v>96</v>
      </c>
      <c r="C50" s="3" t="s">
        <v>97</v>
      </c>
      <c r="D50" t="s">
        <v>1099</v>
      </c>
      <c r="E50" t="str">
        <f t="shared" si="0"/>
        <v>new Models.Country() {Name = "DENMARK", Code =  "DK", Id =49},</v>
      </c>
    </row>
    <row r="51" spans="1:5" ht="15.75" thickBot="1" x14ac:dyDescent="0.3">
      <c r="A51">
        <f t="shared" si="1"/>
        <v>50</v>
      </c>
      <c r="B51" s="2" t="s">
        <v>98</v>
      </c>
      <c r="C51" s="3" t="s">
        <v>99</v>
      </c>
      <c r="D51" t="s">
        <v>1100</v>
      </c>
      <c r="E51" t="str">
        <f t="shared" si="0"/>
        <v>new Models.Country() {Name = "DJIBOUTI", Code =  "DJ", Id =50},</v>
      </c>
    </row>
    <row r="52" spans="1:5" ht="15.75" thickBot="1" x14ac:dyDescent="0.3">
      <c r="A52">
        <f t="shared" si="1"/>
        <v>51</v>
      </c>
      <c r="B52" s="2" t="s">
        <v>100</v>
      </c>
      <c r="C52" s="3" t="s">
        <v>101</v>
      </c>
      <c r="D52" t="s">
        <v>1101</v>
      </c>
      <c r="E52" t="str">
        <f t="shared" si="0"/>
        <v>new Models.Country() {Name = "DOMINICA", Code =  "DM", Id =51},</v>
      </c>
    </row>
    <row r="53" spans="1:5" ht="29.25" thickBot="1" x14ac:dyDescent="0.3">
      <c r="A53">
        <f t="shared" si="1"/>
        <v>52</v>
      </c>
      <c r="B53" s="2" t="s">
        <v>102</v>
      </c>
      <c r="C53" s="3" t="s">
        <v>103</v>
      </c>
      <c r="D53" t="s">
        <v>1102</v>
      </c>
      <c r="E53" t="str">
        <f t="shared" si="0"/>
        <v>new Models.Country() {Name = "DOMINICAN REPUBLIC", Code =  "DO", Id =52},</v>
      </c>
    </row>
    <row r="54" spans="1:5" ht="15.75" thickBot="1" x14ac:dyDescent="0.3">
      <c r="A54">
        <f t="shared" si="1"/>
        <v>53</v>
      </c>
      <c r="B54" s="2" t="s">
        <v>104</v>
      </c>
      <c r="C54" s="3" t="s">
        <v>105</v>
      </c>
      <c r="D54" t="s">
        <v>1103</v>
      </c>
      <c r="E54" t="str">
        <f t="shared" si="0"/>
        <v>new Models.Country() {Name = "ECUADOR", Code =  "EC", Id =53},</v>
      </c>
    </row>
    <row r="55" spans="1:5" ht="15.75" thickBot="1" x14ac:dyDescent="0.3">
      <c r="A55">
        <f t="shared" si="1"/>
        <v>54</v>
      </c>
      <c r="B55" s="2" t="s">
        <v>106</v>
      </c>
      <c r="C55" s="3" t="s">
        <v>107</v>
      </c>
      <c r="D55" t="s">
        <v>1104</v>
      </c>
      <c r="E55" t="str">
        <f t="shared" si="0"/>
        <v>new Models.Country() {Name = "EGYPT", Code =  "EG", Id =54},</v>
      </c>
    </row>
    <row r="56" spans="1:5" ht="15.75" thickBot="1" x14ac:dyDescent="0.3">
      <c r="A56">
        <f t="shared" si="1"/>
        <v>55</v>
      </c>
      <c r="B56" s="2" t="s">
        <v>108</v>
      </c>
      <c r="C56" s="3" t="s">
        <v>109</v>
      </c>
      <c r="D56" t="s">
        <v>1105</v>
      </c>
      <c r="E56" t="str">
        <f t="shared" si="0"/>
        <v>new Models.Country() {Name = "EL SALVADOR", Code =  "SV", Id =55},</v>
      </c>
    </row>
    <row r="57" spans="1:5" ht="15.75" thickBot="1" x14ac:dyDescent="0.3">
      <c r="A57">
        <f t="shared" si="1"/>
        <v>56</v>
      </c>
      <c r="B57" s="2" t="s">
        <v>110</v>
      </c>
      <c r="C57" s="3" t="s">
        <v>111</v>
      </c>
      <c r="D57" t="s">
        <v>1106</v>
      </c>
      <c r="E57" t="str">
        <f t="shared" si="0"/>
        <v>new Models.Country() {Name = "ERITREA", Code =  "ER", Id =56},</v>
      </c>
    </row>
    <row r="58" spans="1:5" ht="15.75" thickBot="1" x14ac:dyDescent="0.3">
      <c r="A58">
        <f t="shared" si="1"/>
        <v>57</v>
      </c>
      <c r="B58" s="2" t="s">
        <v>112</v>
      </c>
      <c r="C58" s="3" t="s">
        <v>113</v>
      </c>
      <c r="D58" t="s">
        <v>1107</v>
      </c>
      <c r="E58" t="str">
        <f t="shared" si="0"/>
        <v>new Models.Country() {Name = "ESTONIA", Code =  "EE", Id =57},</v>
      </c>
    </row>
    <row r="59" spans="1:5" ht="15.75" thickBot="1" x14ac:dyDescent="0.3">
      <c r="A59">
        <f t="shared" si="1"/>
        <v>58</v>
      </c>
      <c r="B59" s="2" t="s">
        <v>114</v>
      </c>
      <c r="C59" s="3" t="s">
        <v>115</v>
      </c>
      <c r="D59" t="s">
        <v>1108</v>
      </c>
      <c r="E59" t="str">
        <f t="shared" si="0"/>
        <v>new Models.Country() {Name = "ETHIOPIA", Code =  "ET", Id =58},</v>
      </c>
    </row>
    <row r="60" spans="1:5" ht="29.25" thickBot="1" x14ac:dyDescent="0.3">
      <c r="A60">
        <f t="shared" si="1"/>
        <v>59</v>
      </c>
      <c r="B60" s="2" t="s">
        <v>116</v>
      </c>
      <c r="C60" s="3" t="s">
        <v>117</v>
      </c>
      <c r="D60" t="s">
        <v>1109</v>
      </c>
      <c r="E60" t="str">
        <f t="shared" si="0"/>
        <v>new Models.Country() {Name = "FALKLAND ISLANDS", Code =  "FK", Id =59},</v>
      </c>
    </row>
    <row r="61" spans="1:5" ht="15.75" thickBot="1" x14ac:dyDescent="0.3">
      <c r="A61">
        <f t="shared" si="1"/>
        <v>60</v>
      </c>
      <c r="B61" s="2" t="s">
        <v>118</v>
      </c>
      <c r="C61" s="3" t="s">
        <v>119</v>
      </c>
      <c r="D61" t="s">
        <v>1110</v>
      </c>
      <c r="E61" t="str">
        <f t="shared" si="0"/>
        <v>new Models.Country() {Name = "FAROE ISLANDS", Code =  "FO", Id =60},</v>
      </c>
    </row>
    <row r="62" spans="1:5" ht="15.75" thickBot="1" x14ac:dyDescent="0.3">
      <c r="A62">
        <f t="shared" si="1"/>
        <v>61</v>
      </c>
      <c r="B62" s="2" t="s">
        <v>120</v>
      </c>
      <c r="C62" s="3" t="s">
        <v>121</v>
      </c>
      <c r="D62" t="s">
        <v>1111</v>
      </c>
      <c r="E62" t="str">
        <f t="shared" si="0"/>
        <v>new Models.Country() {Name = "FIJI", Code =  "FJ", Id =61},</v>
      </c>
    </row>
    <row r="63" spans="1:5" ht="15.75" thickBot="1" x14ac:dyDescent="0.3">
      <c r="A63">
        <f t="shared" si="1"/>
        <v>62</v>
      </c>
      <c r="B63" s="2" t="s">
        <v>122</v>
      </c>
      <c r="C63" s="3" t="s">
        <v>123</v>
      </c>
      <c r="D63" t="s">
        <v>1112</v>
      </c>
      <c r="E63" t="str">
        <f t="shared" si="0"/>
        <v>new Models.Country() {Name = "FINLAND", Code =  "FI", Id =62},</v>
      </c>
    </row>
    <row r="64" spans="1:5" ht="15.75" thickBot="1" x14ac:dyDescent="0.3">
      <c r="A64">
        <f t="shared" si="1"/>
        <v>63</v>
      </c>
      <c r="B64" s="2" t="s">
        <v>124</v>
      </c>
      <c r="C64" s="3" t="s">
        <v>125</v>
      </c>
      <c r="D64" t="s">
        <v>1113</v>
      </c>
      <c r="E64" t="str">
        <f t="shared" si="0"/>
        <v>new Models.Country() {Name = "FRANCE", Code =  "FR", Id =63},</v>
      </c>
    </row>
    <row r="65" spans="1:5" ht="15.75" thickBot="1" x14ac:dyDescent="0.3">
      <c r="A65">
        <f t="shared" si="1"/>
        <v>64</v>
      </c>
      <c r="B65" s="2" t="s">
        <v>126</v>
      </c>
      <c r="C65" s="3" t="s">
        <v>127</v>
      </c>
      <c r="D65" t="s">
        <v>1114</v>
      </c>
      <c r="E65" t="str">
        <f t="shared" si="0"/>
        <v>new Models.Country() {Name = "FRENCH GUIANA", Code =  "GF", Id =64},</v>
      </c>
    </row>
    <row r="66" spans="1:5" ht="29.25" thickBot="1" x14ac:dyDescent="0.3">
      <c r="A66">
        <f t="shared" si="1"/>
        <v>65</v>
      </c>
      <c r="B66" s="2" t="s">
        <v>128</v>
      </c>
      <c r="C66" s="3" t="s">
        <v>129</v>
      </c>
      <c r="D66" t="s">
        <v>1115</v>
      </c>
      <c r="E66" t="str">
        <f t="shared" si="0"/>
        <v>new Models.Country() {Name = "FRENCH POLYNESIA", Code =  "PF", Id =65},</v>
      </c>
    </row>
    <row r="67" spans="1:5" ht="15.75" thickBot="1" x14ac:dyDescent="0.3">
      <c r="A67">
        <f t="shared" si="1"/>
        <v>66</v>
      </c>
      <c r="B67" s="2" t="s">
        <v>130</v>
      </c>
      <c r="C67" s="3" t="s">
        <v>131</v>
      </c>
      <c r="D67" t="s">
        <v>1116</v>
      </c>
      <c r="E67" t="str">
        <f t="shared" ref="E67:E130" si="2">"new Models.Country() {Name = """&amp;B67&amp;""", Code =  """&amp;C67&amp;""", Id ="&amp;A67&amp;"},"</f>
        <v>new Models.Country() {Name = "GABON", Code =  "GA", Id =66},</v>
      </c>
    </row>
    <row r="68" spans="1:5" ht="15.75" thickBot="1" x14ac:dyDescent="0.3">
      <c r="A68">
        <f t="shared" ref="A68:A131" si="3">A67+1</f>
        <v>67</v>
      </c>
      <c r="B68" s="2" t="s">
        <v>132</v>
      </c>
      <c r="C68" s="3" t="s">
        <v>133</v>
      </c>
      <c r="D68" t="s">
        <v>1117</v>
      </c>
      <c r="E68" t="str">
        <f t="shared" si="2"/>
        <v>new Models.Country() {Name = "GAMBIA", Code =  "GM", Id =67},</v>
      </c>
    </row>
    <row r="69" spans="1:5" ht="15.75" thickBot="1" x14ac:dyDescent="0.3">
      <c r="A69">
        <f t="shared" si="3"/>
        <v>68</v>
      </c>
      <c r="B69" s="2" t="s">
        <v>134</v>
      </c>
      <c r="C69" s="3" t="s">
        <v>135</v>
      </c>
      <c r="D69" t="s">
        <v>1118</v>
      </c>
      <c r="E69" t="str">
        <f t="shared" si="2"/>
        <v>new Models.Country() {Name = "GEORGIA", Code =  "GE", Id =68},</v>
      </c>
    </row>
    <row r="70" spans="1:5" ht="15.75" thickBot="1" x14ac:dyDescent="0.3">
      <c r="A70">
        <f t="shared" si="3"/>
        <v>69</v>
      </c>
      <c r="B70" s="2" t="s">
        <v>136</v>
      </c>
      <c r="C70" s="3" t="s">
        <v>137</v>
      </c>
      <c r="D70" t="s">
        <v>1119</v>
      </c>
      <c r="E70" t="str">
        <f t="shared" si="2"/>
        <v>new Models.Country() {Name = "GERMANY", Code =  "DE", Id =69},</v>
      </c>
    </row>
    <row r="71" spans="1:5" ht="15.75" thickBot="1" x14ac:dyDescent="0.3">
      <c r="A71">
        <f t="shared" si="3"/>
        <v>70</v>
      </c>
      <c r="B71" s="2" t="s">
        <v>138</v>
      </c>
      <c r="C71" s="3" t="s">
        <v>139</v>
      </c>
      <c r="D71" t="s">
        <v>1120</v>
      </c>
      <c r="E71" t="str">
        <f t="shared" si="2"/>
        <v>new Models.Country() {Name = "GIBRALTAR", Code =  "GI", Id =70},</v>
      </c>
    </row>
    <row r="72" spans="1:5" ht="15.75" thickBot="1" x14ac:dyDescent="0.3">
      <c r="A72">
        <f t="shared" si="3"/>
        <v>71</v>
      </c>
      <c r="B72" s="2" t="s">
        <v>140</v>
      </c>
      <c r="C72" s="3" t="s">
        <v>141</v>
      </c>
      <c r="D72" t="s">
        <v>1121</v>
      </c>
      <c r="E72" t="str">
        <f t="shared" si="2"/>
        <v>new Models.Country() {Name = "GREECE", Code =  "GR", Id =71},</v>
      </c>
    </row>
    <row r="73" spans="1:5" ht="15.75" thickBot="1" x14ac:dyDescent="0.3">
      <c r="A73">
        <f t="shared" si="3"/>
        <v>72</v>
      </c>
      <c r="B73" s="2" t="s">
        <v>142</v>
      </c>
      <c r="C73" s="3" t="s">
        <v>143</v>
      </c>
      <c r="D73" t="s">
        <v>1122</v>
      </c>
      <c r="E73" t="str">
        <f t="shared" si="2"/>
        <v>new Models.Country() {Name = "GREENLAND", Code =  "GL", Id =72},</v>
      </c>
    </row>
    <row r="74" spans="1:5" ht="15.75" thickBot="1" x14ac:dyDescent="0.3">
      <c r="A74">
        <f t="shared" si="3"/>
        <v>73</v>
      </c>
      <c r="B74" s="2" t="s">
        <v>144</v>
      </c>
      <c r="C74" s="3" t="s">
        <v>145</v>
      </c>
      <c r="D74" t="s">
        <v>1123</v>
      </c>
      <c r="E74" t="str">
        <f t="shared" si="2"/>
        <v>new Models.Country() {Name = "GRENADA", Code =  "GD", Id =73},</v>
      </c>
    </row>
    <row r="75" spans="1:5" ht="15.75" thickBot="1" x14ac:dyDescent="0.3">
      <c r="A75">
        <f t="shared" si="3"/>
        <v>74</v>
      </c>
      <c r="B75" s="2" t="s">
        <v>146</v>
      </c>
      <c r="C75" s="3" t="s">
        <v>147</v>
      </c>
      <c r="D75" t="s">
        <v>1124</v>
      </c>
      <c r="E75" t="str">
        <f t="shared" si="2"/>
        <v>new Models.Country() {Name = "GUADELOUPE", Code =  "GP", Id =74},</v>
      </c>
    </row>
    <row r="76" spans="1:5" ht="15.75" thickBot="1" x14ac:dyDescent="0.3">
      <c r="A76">
        <f t="shared" si="3"/>
        <v>75</v>
      </c>
      <c r="B76" s="2" t="s">
        <v>148</v>
      </c>
      <c r="C76" s="3" t="s">
        <v>149</v>
      </c>
      <c r="D76" t="s">
        <v>1125</v>
      </c>
      <c r="E76" t="str">
        <f t="shared" si="2"/>
        <v>new Models.Country() {Name = "GUATEMALA", Code =  "GT", Id =75},</v>
      </c>
    </row>
    <row r="77" spans="1:5" ht="15.75" thickBot="1" x14ac:dyDescent="0.3">
      <c r="A77">
        <f t="shared" si="3"/>
        <v>76</v>
      </c>
      <c r="B77" s="2" t="s">
        <v>150</v>
      </c>
      <c r="C77" s="3" t="s">
        <v>151</v>
      </c>
      <c r="D77" t="s">
        <v>1126</v>
      </c>
      <c r="E77" t="str">
        <f t="shared" si="2"/>
        <v>new Models.Country() {Name = "GUINEA", Code =  "GN", Id =76},</v>
      </c>
    </row>
    <row r="78" spans="1:5" ht="15.75" thickBot="1" x14ac:dyDescent="0.3">
      <c r="A78">
        <f t="shared" si="3"/>
        <v>77</v>
      </c>
      <c r="B78" s="2" t="s">
        <v>152</v>
      </c>
      <c r="C78" s="3" t="s">
        <v>153</v>
      </c>
      <c r="D78" t="s">
        <v>1127</v>
      </c>
      <c r="E78" t="str">
        <f t="shared" si="2"/>
        <v>new Models.Country() {Name = "GUINEA-BISSAU", Code =  "GW", Id =77},</v>
      </c>
    </row>
    <row r="79" spans="1:5" ht="15.75" thickBot="1" x14ac:dyDescent="0.3">
      <c r="A79">
        <f t="shared" si="3"/>
        <v>78</v>
      </c>
      <c r="B79" s="2" t="s">
        <v>154</v>
      </c>
      <c r="C79" s="3" t="s">
        <v>155</v>
      </c>
      <c r="D79" t="s">
        <v>1128</v>
      </c>
      <c r="E79" t="str">
        <f t="shared" si="2"/>
        <v>new Models.Country() {Name = "GUYANA", Code =  "GY", Id =78},</v>
      </c>
    </row>
    <row r="80" spans="1:5" ht="15.75" thickBot="1" x14ac:dyDescent="0.3">
      <c r="A80">
        <f t="shared" si="3"/>
        <v>79</v>
      </c>
      <c r="B80" s="2" t="s">
        <v>156</v>
      </c>
      <c r="C80" s="3" t="s">
        <v>157</v>
      </c>
      <c r="D80" t="s">
        <v>1129</v>
      </c>
      <c r="E80" t="str">
        <f t="shared" si="2"/>
        <v>new Models.Country() {Name = "HONDURAS", Code =  "HN", Id =79},</v>
      </c>
    </row>
    <row r="81" spans="1:5" ht="29.25" thickBot="1" x14ac:dyDescent="0.3">
      <c r="A81">
        <f t="shared" si="3"/>
        <v>80</v>
      </c>
      <c r="B81" s="2" t="s">
        <v>158</v>
      </c>
      <c r="C81" s="3" t="s">
        <v>159</v>
      </c>
      <c r="D81" t="s">
        <v>1130</v>
      </c>
      <c r="E81" t="str">
        <f t="shared" si="2"/>
        <v>new Models.Country() {Name = "HONG KONG SAR CHINA", Code =  "HK", Id =80},</v>
      </c>
    </row>
    <row r="82" spans="1:5" ht="15.75" thickBot="1" x14ac:dyDescent="0.3">
      <c r="A82">
        <f t="shared" si="3"/>
        <v>81</v>
      </c>
      <c r="B82" s="2" t="s">
        <v>160</v>
      </c>
      <c r="C82" s="3" t="s">
        <v>161</v>
      </c>
      <c r="D82" t="s">
        <v>1131</v>
      </c>
      <c r="E82" t="str">
        <f t="shared" si="2"/>
        <v>new Models.Country() {Name = "HUNGARY", Code =  "HU", Id =81},</v>
      </c>
    </row>
    <row r="83" spans="1:5" ht="15.75" thickBot="1" x14ac:dyDescent="0.3">
      <c r="A83">
        <f t="shared" si="3"/>
        <v>82</v>
      </c>
      <c r="B83" s="2" t="s">
        <v>162</v>
      </c>
      <c r="C83" s="3" t="s">
        <v>163</v>
      </c>
      <c r="D83" t="s">
        <v>1132</v>
      </c>
      <c r="E83" t="str">
        <f t="shared" si="2"/>
        <v>new Models.Country() {Name = "ICELAND", Code =  "IS", Id =82},</v>
      </c>
    </row>
    <row r="84" spans="1:5" ht="15.75" thickBot="1" x14ac:dyDescent="0.3">
      <c r="A84">
        <f t="shared" si="3"/>
        <v>83</v>
      </c>
      <c r="B84" s="2" t="s">
        <v>164</v>
      </c>
      <c r="C84" s="3" t="s">
        <v>165</v>
      </c>
      <c r="D84" t="s">
        <v>631</v>
      </c>
      <c r="E84" t="str">
        <f t="shared" si="2"/>
        <v>new Models.Country() {Name = "INDIA", Code =  "IN", Id =83},</v>
      </c>
    </row>
    <row r="85" spans="1:5" ht="15.75" thickBot="1" x14ac:dyDescent="0.3">
      <c r="A85">
        <f t="shared" si="3"/>
        <v>84</v>
      </c>
      <c r="B85" s="2" t="s">
        <v>166</v>
      </c>
      <c r="C85" s="3" t="s">
        <v>167</v>
      </c>
      <c r="D85" t="s">
        <v>671</v>
      </c>
      <c r="E85" t="str">
        <f t="shared" si="2"/>
        <v>new Models.Country() {Name = "INDONESIA", Code =  "ID", Id =84},</v>
      </c>
    </row>
    <row r="86" spans="1:5" ht="15.75" thickBot="1" x14ac:dyDescent="0.3">
      <c r="A86">
        <f t="shared" si="3"/>
        <v>85</v>
      </c>
      <c r="B86" s="2" t="s">
        <v>168</v>
      </c>
      <c r="C86" s="3" t="s">
        <v>169</v>
      </c>
      <c r="D86" t="s">
        <v>1133</v>
      </c>
      <c r="E86" t="str">
        <f t="shared" si="2"/>
        <v>new Models.Country() {Name = "IRELAND", Code =  "IE", Id =85},</v>
      </c>
    </row>
    <row r="87" spans="1:5" ht="15.75" thickBot="1" x14ac:dyDescent="0.3">
      <c r="A87">
        <f t="shared" si="3"/>
        <v>86</v>
      </c>
      <c r="B87" s="2" t="s">
        <v>170</v>
      </c>
      <c r="C87" s="3" t="s">
        <v>171</v>
      </c>
      <c r="D87" t="s">
        <v>1134</v>
      </c>
      <c r="E87" t="str">
        <f t="shared" si="2"/>
        <v>new Models.Country() {Name = "ISRAEL", Code =  "IL", Id =86},</v>
      </c>
    </row>
    <row r="88" spans="1:5" ht="15.75" thickBot="1" x14ac:dyDescent="0.3">
      <c r="A88">
        <f t="shared" si="3"/>
        <v>87</v>
      </c>
      <c r="B88" s="2" t="s">
        <v>172</v>
      </c>
      <c r="C88" s="3" t="s">
        <v>173</v>
      </c>
      <c r="D88" t="s">
        <v>740</v>
      </c>
      <c r="E88" t="str">
        <f t="shared" si="2"/>
        <v>new Models.Country() {Name = "ITALY", Code =  "IT", Id =87},</v>
      </c>
    </row>
    <row r="89" spans="1:5" ht="15.75" thickBot="1" x14ac:dyDescent="0.3">
      <c r="A89">
        <f t="shared" si="3"/>
        <v>88</v>
      </c>
      <c r="B89" s="2" t="s">
        <v>174</v>
      </c>
      <c r="C89" s="3" t="s">
        <v>175</v>
      </c>
      <c r="D89" t="s">
        <v>1135</v>
      </c>
      <c r="E89" t="str">
        <f t="shared" si="2"/>
        <v>new Models.Country() {Name = "JAMAICA", Code =  "JM", Id =88},</v>
      </c>
    </row>
    <row r="90" spans="1:5" ht="15.75" thickBot="1" x14ac:dyDescent="0.3">
      <c r="A90">
        <f t="shared" si="3"/>
        <v>89</v>
      </c>
      <c r="B90" s="2" t="s">
        <v>176</v>
      </c>
      <c r="C90" s="3" t="s">
        <v>177</v>
      </c>
      <c r="D90" t="s">
        <v>895</v>
      </c>
      <c r="E90" t="str">
        <f t="shared" si="2"/>
        <v>new Models.Country() {Name = "JAPAN", Code =  "JP", Id =89},</v>
      </c>
    </row>
    <row r="91" spans="1:5" ht="15.75" thickBot="1" x14ac:dyDescent="0.3">
      <c r="A91">
        <f t="shared" si="3"/>
        <v>90</v>
      </c>
      <c r="B91" s="2" t="s">
        <v>178</v>
      </c>
      <c r="C91" s="3" t="s">
        <v>179</v>
      </c>
      <c r="D91" t="s">
        <v>1136</v>
      </c>
      <c r="E91" t="str">
        <f t="shared" si="2"/>
        <v>new Models.Country() {Name = "JORDAN", Code =  "JO", Id =90},</v>
      </c>
    </row>
    <row r="92" spans="1:5" ht="15.75" thickBot="1" x14ac:dyDescent="0.3">
      <c r="A92">
        <f t="shared" si="3"/>
        <v>91</v>
      </c>
      <c r="B92" s="2" t="s">
        <v>180</v>
      </c>
      <c r="C92" s="3" t="s">
        <v>181</v>
      </c>
      <c r="D92" t="s">
        <v>1137</v>
      </c>
      <c r="E92" t="str">
        <f t="shared" si="2"/>
        <v>new Models.Country() {Name = "KAZAKHSTAN", Code =  "KZ", Id =91},</v>
      </c>
    </row>
    <row r="93" spans="1:5" ht="15.75" thickBot="1" x14ac:dyDescent="0.3">
      <c r="A93">
        <f t="shared" si="3"/>
        <v>92</v>
      </c>
      <c r="B93" s="2" t="s">
        <v>182</v>
      </c>
      <c r="C93" s="3" t="s">
        <v>183</v>
      </c>
      <c r="D93" t="s">
        <v>1138</v>
      </c>
      <c r="E93" t="str">
        <f t="shared" si="2"/>
        <v>new Models.Country() {Name = "KENYA", Code =  "KE", Id =92},</v>
      </c>
    </row>
    <row r="94" spans="1:5" ht="15.75" thickBot="1" x14ac:dyDescent="0.3">
      <c r="A94">
        <f t="shared" si="3"/>
        <v>93</v>
      </c>
      <c r="B94" s="2" t="s">
        <v>184</v>
      </c>
      <c r="C94" s="3" t="s">
        <v>185</v>
      </c>
      <c r="D94" t="s">
        <v>1139</v>
      </c>
      <c r="E94" t="str">
        <f t="shared" si="2"/>
        <v>new Models.Country() {Name = "KIRIBATI", Code =  "KI", Id =93},</v>
      </c>
    </row>
    <row r="95" spans="1:5" ht="15.75" thickBot="1" x14ac:dyDescent="0.3">
      <c r="A95">
        <f t="shared" si="3"/>
        <v>94</v>
      </c>
      <c r="B95" s="2" t="s">
        <v>186</v>
      </c>
      <c r="C95" s="3" t="s">
        <v>187</v>
      </c>
      <c r="D95" t="s">
        <v>1140</v>
      </c>
      <c r="E95" t="str">
        <f t="shared" si="2"/>
        <v>new Models.Country() {Name = "KUWAIT", Code =  "KW", Id =94},</v>
      </c>
    </row>
    <row r="96" spans="1:5" ht="15.75" thickBot="1" x14ac:dyDescent="0.3">
      <c r="A96">
        <f t="shared" si="3"/>
        <v>95</v>
      </c>
      <c r="B96" s="2" t="s">
        <v>188</v>
      </c>
      <c r="C96" s="3" t="s">
        <v>189</v>
      </c>
      <c r="D96" t="s">
        <v>1141</v>
      </c>
      <c r="E96" t="str">
        <f t="shared" si="2"/>
        <v>new Models.Country() {Name = "KYRGYZSTAN", Code =  "KG", Id =95},</v>
      </c>
    </row>
    <row r="97" spans="1:5" ht="15.75" thickBot="1" x14ac:dyDescent="0.3">
      <c r="A97">
        <f t="shared" si="3"/>
        <v>96</v>
      </c>
      <c r="B97" s="2" t="s">
        <v>190</v>
      </c>
      <c r="C97" s="3" t="s">
        <v>191</v>
      </c>
      <c r="D97" t="s">
        <v>1142</v>
      </c>
      <c r="E97" t="str">
        <f t="shared" si="2"/>
        <v>new Models.Country() {Name = "LAOS", Code =  "LA", Id =96},</v>
      </c>
    </row>
    <row r="98" spans="1:5" ht="15.75" thickBot="1" x14ac:dyDescent="0.3">
      <c r="A98">
        <f t="shared" si="3"/>
        <v>97</v>
      </c>
      <c r="B98" s="2" t="s">
        <v>192</v>
      </c>
      <c r="C98" s="3" t="s">
        <v>193</v>
      </c>
      <c r="D98" t="s">
        <v>1143</v>
      </c>
      <c r="E98" t="str">
        <f t="shared" si="2"/>
        <v>new Models.Country() {Name = "LATVIA", Code =  "LV", Id =97},</v>
      </c>
    </row>
    <row r="99" spans="1:5" ht="15.75" thickBot="1" x14ac:dyDescent="0.3">
      <c r="A99">
        <f t="shared" si="3"/>
        <v>98</v>
      </c>
      <c r="B99" s="2" t="s">
        <v>194</v>
      </c>
      <c r="C99" s="3" t="s">
        <v>195</v>
      </c>
      <c r="D99" t="s">
        <v>1144</v>
      </c>
      <c r="E99" t="str">
        <f t="shared" si="2"/>
        <v>new Models.Country() {Name = "LESOTHO", Code =  "LS", Id =98},</v>
      </c>
    </row>
    <row r="100" spans="1:5" ht="15.75" thickBot="1" x14ac:dyDescent="0.3">
      <c r="A100">
        <f t="shared" si="3"/>
        <v>99</v>
      </c>
      <c r="B100" s="2" t="s">
        <v>196</v>
      </c>
      <c r="C100" s="3" t="s">
        <v>197</v>
      </c>
      <c r="D100" t="s">
        <v>1145</v>
      </c>
      <c r="E100" t="str">
        <f t="shared" si="2"/>
        <v>new Models.Country() {Name = "LIECHTENSTEIN", Code =  "LI", Id =99},</v>
      </c>
    </row>
    <row r="101" spans="1:5" ht="15.75" thickBot="1" x14ac:dyDescent="0.3">
      <c r="A101">
        <f t="shared" si="3"/>
        <v>100</v>
      </c>
      <c r="B101" s="2" t="s">
        <v>198</v>
      </c>
      <c r="C101" s="3" t="s">
        <v>199</v>
      </c>
      <c r="D101" t="s">
        <v>1146</v>
      </c>
      <c r="E101" t="str">
        <f t="shared" si="2"/>
        <v>new Models.Country() {Name = "LITHUANIA", Code =  "LT", Id =100},</v>
      </c>
    </row>
    <row r="102" spans="1:5" ht="15.75" thickBot="1" x14ac:dyDescent="0.3">
      <c r="A102">
        <f t="shared" si="3"/>
        <v>101</v>
      </c>
      <c r="B102" s="2" t="s">
        <v>200</v>
      </c>
      <c r="C102" s="3" t="s">
        <v>201</v>
      </c>
      <c r="D102" t="s">
        <v>1147</v>
      </c>
      <c r="E102" t="str">
        <f t="shared" si="2"/>
        <v>new Models.Country() {Name = "LUXEMBOURG", Code =  "LU", Id =101},</v>
      </c>
    </row>
    <row r="103" spans="1:5" ht="15.75" thickBot="1" x14ac:dyDescent="0.3">
      <c r="A103">
        <f t="shared" si="3"/>
        <v>102</v>
      </c>
      <c r="B103" s="2" t="s">
        <v>202</v>
      </c>
      <c r="C103" s="3" t="s">
        <v>203</v>
      </c>
      <c r="D103" t="s">
        <v>1148</v>
      </c>
      <c r="E103" t="str">
        <f t="shared" si="2"/>
        <v>new Models.Country() {Name = "MACEDONIA", Code =  "MK", Id =102},</v>
      </c>
    </row>
    <row r="104" spans="1:5" ht="15.75" thickBot="1" x14ac:dyDescent="0.3">
      <c r="A104">
        <f t="shared" si="3"/>
        <v>103</v>
      </c>
      <c r="B104" s="2" t="s">
        <v>204</v>
      </c>
      <c r="C104" s="3" t="s">
        <v>205</v>
      </c>
      <c r="D104" t="s">
        <v>1149</v>
      </c>
      <c r="E104" t="str">
        <f t="shared" si="2"/>
        <v>new Models.Country() {Name = "MADAGASCAR", Code =  "MG", Id =103},</v>
      </c>
    </row>
    <row r="105" spans="1:5" ht="15.75" thickBot="1" x14ac:dyDescent="0.3">
      <c r="A105">
        <f t="shared" si="3"/>
        <v>104</v>
      </c>
      <c r="B105" s="2" t="s">
        <v>206</v>
      </c>
      <c r="C105" s="3" t="s">
        <v>207</v>
      </c>
      <c r="D105" t="s">
        <v>1150</v>
      </c>
      <c r="E105" t="str">
        <f t="shared" si="2"/>
        <v>new Models.Country() {Name = "MALAWI", Code =  "MW", Id =104},</v>
      </c>
    </row>
    <row r="106" spans="1:5" ht="15.75" thickBot="1" x14ac:dyDescent="0.3">
      <c r="A106">
        <f t="shared" si="3"/>
        <v>105</v>
      </c>
      <c r="B106" s="2" t="s">
        <v>208</v>
      </c>
      <c r="C106" s="3" t="s">
        <v>209</v>
      </c>
      <c r="D106" t="s">
        <v>1151</v>
      </c>
      <c r="E106" t="str">
        <f t="shared" si="2"/>
        <v>new Models.Country() {Name = "MALAYSIA", Code =  "MY", Id =105},</v>
      </c>
    </row>
    <row r="107" spans="1:5" ht="15.75" thickBot="1" x14ac:dyDescent="0.3">
      <c r="A107">
        <f t="shared" si="3"/>
        <v>106</v>
      </c>
      <c r="B107" s="2" t="s">
        <v>210</v>
      </c>
      <c r="C107" s="3" t="s">
        <v>211</v>
      </c>
      <c r="D107" t="s">
        <v>1152</v>
      </c>
      <c r="E107" t="str">
        <f t="shared" si="2"/>
        <v>new Models.Country() {Name = "MALDIVES", Code =  "MV", Id =106},</v>
      </c>
    </row>
    <row r="108" spans="1:5" ht="15.75" thickBot="1" x14ac:dyDescent="0.3">
      <c r="A108">
        <f t="shared" si="3"/>
        <v>107</v>
      </c>
      <c r="B108" s="2" t="s">
        <v>212</v>
      </c>
      <c r="C108" s="3" t="s">
        <v>213</v>
      </c>
      <c r="D108" t="s">
        <v>1153</v>
      </c>
      <c r="E108" t="str">
        <f t="shared" si="2"/>
        <v>new Models.Country() {Name = "MALI", Code =  "ML", Id =107},</v>
      </c>
    </row>
    <row r="109" spans="1:5" ht="15.75" thickBot="1" x14ac:dyDescent="0.3">
      <c r="A109">
        <f t="shared" si="3"/>
        <v>108</v>
      </c>
      <c r="B109" s="2" t="s">
        <v>214</v>
      </c>
      <c r="C109" s="3" t="s">
        <v>215</v>
      </c>
      <c r="D109" t="s">
        <v>1154</v>
      </c>
      <c r="E109" t="str">
        <f t="shared" si="2"/>
        <v>new Models.Country() {Name = "MALTA", Code =  "MT", Id =108},</v>
      </c>
    </row>
    <row r="110" spans="1:5" ht="29.25" thickBot="1" x14ac:dyDescent="0.3">
      <c r="A110">
        <f t="shared" si="3"/>
        <v>109</v>
      </c>
      <c r="B110" s="2" t="s">
        <v>216</v>
      </c>
      <c r="C110" s="3" t="s">
        <v>217</v>
      </c>
      <c r="D110" t="s">
        <v>1155</v>
      </c>
      <c r="E110" t="str">
        <f t="shared" si="2"/>
        <v>new Models.Country() {Name = "MARSHALL ISLANDS", Code =  "MH", Id =109},</v>
      </c>
    </row>
    <row r="111" spans="1:5" ht="15.75" thickBot="1" x14ac:dyDescent="0.3">
      <c r="A111">
        <f t="shared" si="3"/>
        <v>110</v>
      </c>
      <c r="B111" s="2" t="s">
        <v>218</v>
      </c>
      <c r="C111" s="3" t="s">
        <v>219</v>
      </c>
      <c r="D111" t="s">
        <v>1156</v>
      </c>
      <c r="E111" t="str">
        <f t="shared" si="2"/>
        <v>new Models.Country() {Name = "MARTINIQUE", Code =  "MQ", Id =110},</v>
      </c>
    </row>
    <row r="112" spans="1:5" ht="15.75" thickBot="1" x14ac:dyDescent="0.3">
      <c r="A112">
        <f t="shared" si="3"/>
        <v>111</v>
      </c>
      <c r="B112" s="2" t="s">
        <v>220</v>
      </c>
      <c r="C112" s="3" t="s">
        <v>221</v>
      </c>
      <c r="D112" t="s">
        <v>1157</v>
      </c>
      <c r="E112" t="str">
        <f t="shared" si="2"/>
        <v>new Models.Country() {Name = "MAURITANIA", Code =  "MR", Id =111},</v>
      </c>
    </row>
    <row r="113" spans="1:5" ht="15.75" thickBot="1" x14ac:dyDescent="0.3">
      <c r="A113">
        <f t="shared" si="3"/>
        <v>112</v>
      </c>
      <c r="B113" s="2" t="s">
        <v>222</v>
      </c>
      <c r="C113" s="3" t="s">
        <v>223</v>
      </c>
      <c r="D113" t="s">
        <v>1158</v>
      </c>
      <c r="E113" t="str">
        <f t="shared" si="2"/>
        <v>new Models.Country() {Name = "MAURITIUS", Code =  "MU", Id =112},</v>
      </c>
    </row>
    <row r="114" spans="1:5" ht="15.75" thickBot="1" x14ac:dyDescent="0.3">
      <c r="A114">
        <f t="shared" si="3"/>
        <v>113</v>
      </c>
      <c r="B114" s="2" t="s">
        <v>224</v>
      </c>
      <c r="C114" s="3" t="s">
        <v>225</v>
      </c>
      <c r="D114" t="s">
        <v>1159</v>
      </c>
      <c r="E114" t="str">
        <f t="shared" si="2"/>
        <v>new Models.Country() {Name = "MAYOTTE", Code =  "YT", Id =113},</v>
      </c>
    </row>
    <row r="115" spans="1:5" ht="15.75" thickBot="1" x14ac:dyDescent="0.3">
      <c r="A115">
        <f t="shared" si="3"/>
        <v>114</v>
      </c>
      <c r="B115" s="2" t="s">
        <v>226</v>
      </c>
      <c r="C115" s="3" t="s">
        <v>227</v>
      </c>
      <c r="D115" t="s">
        <v>991</v>
      </c>
      <c r="E115" t="str">
        <f t="shared" si="2"/>
        <v>new Models.Country() {Name = "MEXICO", Code =  "MX", Id =114},</v>
      </c>
    </row>
    <row r="116" spans="1:5" ht="15.75" thickBot="1" x14ac:dyDescent="0.3">
      <c r="A116">
        <f t="shared" si="3"/>
        <v>115</v>
      </c>
      <c r="B116" s="2" t="s">
        <v>228</v>
      </c>
      <c r="C116" s="3" t="s">
        <v>229</v>
      </c>
      <c r="D116" t="s">
        <v>1160</v>
      </c>
      <c r="E116" t="str">
        <f t="shared" si="2"/>
        <v>new Models.Country() {Name = "MICRONESIA", Code =  "FM", Id =115},</v>
      </c>
    </row>
    <row r="117" spans="1:5" ht="15.75" thickBot="1" x14ac:dyDescent="0.3">
      <c r="A117">
        <f t="shared" si="3"/>
        <v>116</v>
      </c>
      <c r="B117" s="2" t="s">
        <v>230</v>
      </c>
      <c r="C117" s="3" t="s">
        <v>231</v>
      </c>
      <c r="D117" t="s">
        <v>1161</v>
      </c>
      <c r="E117" t="str">
        <f t="shared" si="2"/>
        <v>new Models.Country() {Name = "MOLDOVA", Code =  "MD", Id =116},</v>
      </c>
    </row>
    <row r="118" spans="1:5" ht="15.75" thickBot="1" x14ac:dyDescent="0.3">
      <c r="A118">
        <f t="shared" si="3"/>
        <v>117</v>
      </c>
      <c r="B118" s="2" t="s">
        <v>232</v>
      </c>
      <c r="C118" s="3" t="s">
        <v>233</v>
      </c>
      <c r="D118" t="s">
        <v>1162</v>
      </c>
      <c r="E118" t="str">
        <f t="shared" si="2"/>
        <v>new Models.Country() {Name = "MONACO", Code =  "MC", Id =117},</v>
      </c>
    </row>
    <row r="119" spans="1:5" ht="15.75" thickBot="1" x14ac:dyDescent="0.3">
      <c r="A119">
        <f t="shared" si="3"/>
        <v>118</v>
      </c>
      <c r="B119" s="2" t="s">
        <v>234</v>
      </c>
      <c r="C119" s="3" t="s">
        <v>235</v>
      </c>
      <c r="D119" t="s">
        <v>1163</v>
      </c>
      <c r="E119" t="str">
        <f t="shared" si="2"/>
        <v>new Models.Country() {Name = "MONGOLIA", Code =  "MN", Id =118},</v>
      </c>
    </row>
    <row r="120" spans="1:5" ht="15.75" thickBot="1" x14ac:dyDescent="0.3">
      <c r="A120">
        <f t="shared" si="3"/>
        <v>119</v>
      </c>
      <c r="B120" s="2" t="s">
        <v>236</v>
      </c>
      <c r="C120" s="3" t="s">
        <v>237</v>
      </c>
      <c r="D120" t="s">
        <v>1164</v>
      </c>
      <c r="E120" t="str">
        <f t="shared" si="2"/>
        <v>new Models.Country() {Name = "MONTENEGRO", Code =  "ME", Id =119},</v>
      </c>
    </row>
    <row r="121" spans="1:5" ht="15.75" thickBot="1" x14ac:dyDescent="0.3">
      <c r="A121">
        <f t="shared" si="3"/>
        <v>120</v>
      </c>
      <c r="B121" s="2" t="s">
        <v>238</v>
      </c>
      <c r="C121" s="3" t="s">
        <v>239</v>
      </c>
      <c r="D121" t="s">
        <v>1165</v>
      </c>
      <c r="E121" t="str">
        <f t="shared" si="2"/>
        <v>new Models.Country() {Name = "MONTSERRAT", Code =  "MS", Id =120},</v>
      </c>
    </row>
    <row r="122" spans="1:5" ht="15.75" thickBot="1" x14ac:dyDescent="0.3">
      <c r="A122">
        <f t="shared" si="3"/>
        <v>121</v>
      </c>
      <c r="B122" s="2" t="s">
        <v>240</v>
      </c>
      <c r="C122" s="3" t="s">
        <v>241</v>
      </c>
      <c r="D122" t="s">
        <v>1166</v>
      </c>
      <c r="E122" t="str">
        <f t="shared" si="2"/>
        <v>new Models.Country() {Name = "MOROCCO", Code =  "MA", Id =121},</v>
      </c>
    </row>
    <row r="123" spans="1:5" ht="15.75" thickBot="1" x14ac:dyDescent="0.3">
      <c r="A123">
        <f t="shared" si="3"/>
        <v>122</v>
      </c>
      <c r="B123" s="2" t="s">
        <v>242</v>
      </c>
      <c r="C123" s="3" t="s">
        <v>243</v>
      </c>
      <c r="D123" t="s">
        <v>1167</v>
      </c>
      <c r="E123" t="str">
        <f t="shared" si="2"/>
        <v>new Models.Country() {Name = "MOZAMBIQUE", Code =  "MZ", Id =122},</v>
      </c>
    </row>
    <row r="124" spans="1:5" ht="15.75" thickBot="1" x14ac:dyDescent="0.3">
      <c r="A124">
        <f t="shared" si="3"/>
        <v>123</v>
      </c>
      <c r="B124" s="2" t="s">
        <v>244</v>
      </c>
      <c r="C124" s="3" t="s">
        <v>245</v>
      </c>
      <c r="D124" t="s">
        <v>1168</v>
      </c>
      <c r="E124" t="str">
        <f t="shared" si="2"/>
        <v>new Models.Country() {Name = "NAMIBIA", Code =  "NA", Id =123},</v>
      </c>
    </row>
    <row r="125" spans="1:5" ht="15.75" thickBot="1" x14ac:dyDescent="0.3">
      <c r="A125">
        <f t="shared" si="3"/>
        <v>124</v>
      </c>
      <c r="B125" s="2" t="s">
        <v>246</v>
      </c>
      <c r="C125" s="3" t="s">
        <v>247</v>
      </c>
      <c r="D125" t="s">
        <v>1169</v>
      </c>
      <c r="E125" t="str">
        <f t="shared" si="2"/>
        <v>new Models.Country() {Name = "NAURU", Code =  "NR", Id =124},</v>
      </c>
    </row>
    <row r="126" spans="1:5" ht="15.75" thickBot="1" x14ac:dyDescent="0.3">
      <c r="A126">
        <f t="shared" si="3"/>
        <v>125</v>
      </c>
      <c r="B126" s="2" t="s">
        <v>248</v>
      </c>
      <c r="C126" s="3" t="s">
        <v>249</v>
      </c>
      <c r="D126" t="s">
        <v>1170</v>
      </c>
      <c r="E126" t="str">
        <f t="shared" si="2"/>
        <v>new Models.Country() {Name = "NEPAL", Code =  "NP", Id =125},</v>
      </c>
    </row>
    <row r="127" spans="1:5" ht="15.75" thickBot="1" x14ac:dyDescent="0.3">
      <c r="A127">
        <f t="shared" si="3"/>
        <v>126</v>
      </c>
      <c r="B127" s="2" t="s">
        <v>250</v>
      </c>
      <c r="C127" s="3" t="s">
        <v>251</v>
      </c>
      <c r="D127" t="s">
        <v>1171</v>
      </c>
      <c r="E127" t="str">
        <f t="shared" si="2"/>
        <v>new Models.Country() {Name = "NETHERLANDS", Code =  "NL", Id =126},</v>
      </c>
    </row>
    <row r="128" spans="1:5" ht="15.75" thickBot="1" x14ac:dyDescent="0.3">
      <c r="A128">
        <f t="shared" si="3"/>
        <v>127</v>
      </c>
      <c r="B128" s="2" t="s">
        <v>252</v>
      </c>
      <c r="C128" s="3" t="s">
        <v>253</v>
      </c>
      <c r="D128" t="s">
        <v>1172</v>
      </c>
      <c r="E128" t="str">
        <f t="shared" si="2"/>
        <v>new Models.Country() {Name = "NEW CALEDONIA", Code =  "NC", Id =127},</v>
      </c>
    </row>
    <row r="129" spans="1:5" ht="15.75" thickBot="1" x14ac:dyDescent="0.3">
      <c r="A129">
        <f t="shared" si="3"/>
        <v>128</v>
      </c>
      <c r="B129" s="2" t="s">
        <v>254</v>
      </c>
      <c r="C129" s="3" t="s">
        <v>255</v>
      </c>
      <c r="D129" t="s">
        <v>1173</v>
      </c>
      <c r="E129" t="str">
        <f t="shared" si="2"/>
        <v>new Models.Country() {Name = "NEW ZEALAND", Code =  "NZ", Id =128},</v>
      </c>
    </row>
    <row r="130" spans="1:5" ht="15.75" thickBot="1" x14ac:dyDescent="0.3">
      <c r="A130">
        <f t="shared" si="3"/>
        <v>129</v>
      </c>
      <c r="B130" s="2" t="s">
        <v>256</v>
      </c>
      <c r="C130" s="3" t="s">
        <v>257</v>
      </c>
      <c r="D130" t="s">
        <v>1174</v>
      </c>
      <c r="E130" t="str">
        <f t="shared" si="2"/>
        <v>new Models.Country() {Name = "NICARAGUA", Code =  "NI", Id =129},</v>
      </c>
    </row>
    <row r="131" spans="1:5" ht="15.75" thickBot="1" x14ac:dyDescent="0.3">
      <c r="A131">
        <f t="shared" si="3"/>
        <v>130</v>
      </c>
      <c r="B131" s="2" t="s">
        <v>258</v>
      </c>
      <c r="C131" s="3" t="s">
        <v>259</v>
      </c>
      <c r="D131" t="s">
        <v>1175</v>
      </c>
      <c r="E131" t="str">
        <f t="shared" ref="E131:E194" si="4">"new Models.Country() {Name = """&amp;B131&amp;""", Code =  """&amp;C131&amp;""", Id ="&amp;A131&amp;"},"</f>
        <v>new Models.Country() {Name = "NIGER", Code =  "NE", Id =130},</v>
      </c>
    </row>
    <row r="132" spans="1:5" ht="15.75" thickBot="1" x14ac:dyDescent="0.3">
      <c r="A132">
        <f t="shared" ref="A132:A195" si="5">A131+1</f>
        <v>131</v>
      </c>
      <c r="B132" s="2" t="s">
        <v>260</v>
      </c>
      <c r="C132" s="3" t="s">
        <v>261</v>
      </c>
      <c r="D132" t="s">
        <v>1176</v>
      </c>
      <c r="E132" t="str">
        <f t="shared" si="4"/>
        <v>new Models.Country() {Name = "NIGERIA", Code =  "NG", Id =131},</v>
      </c>
    </row>
    <row r="133" spans="1:5" ht="15.75" thickBot="1" x14ac:dyDescent="0.3">
      <c r="A133">
        <f t="shared" si="5"/>
        <v>132</v>
      </c>
      <c r="B133" s="2" t="s">
        <v>262</v>
      </c>
      <c r="C133" s="3" t="s">
        <v>263</v>
      </c>
      <c r="D133" t="s">
        <v>1177</v>
      </c>
      <c r="E133" t="str">
        <f t="shared" si="4"/>
        <v>new Models.Country() {Name = "NIUE", Code =  "NU", Id =132},</v>
      </c>
    </row>
    <row r="134" spans="1:5" ht="15.75" thickBot="1" x14ac:dyDescent="0.3">
      <c r="A134">
        <f t="shared" si="5"/>
        <v>133</v>
      </c>
      <c r="B134" s="2" t="s">
        <v>264</v>
      </c>
      <c r="C134" s="3" t="s">
        <v>265</v>
      </c>
      <c r="D134" t="s">
        <v>1178</v>
      </c>
      <c r="E134" t="str">
        <f t="shared" si="4"/>
        <v>new Models.Country() {Name = "NORFOLK ISLAND", Code =  "NF", Id =133},</v>
      </c>
    </row>
    <row r="135" spans="1:5" ht="15.75" thickBot="1" x14ac:dyDescent="0.3">
      <c r="A135">
        <f t="shared" si="5"/>
        <v>134</v>
      </c>
      <c r="B135" s="2" t="s">
        <v>266</v>
      </c>
      <c r="C135" s="3" t="s">
        <v>267</v>
      </c>
      <c r="D135" t="s">
        <v>1179</v>
      </c>
      <c r="E135" t="str">
        <f t="shared" si="4"/>
        <v>new Models.Country() {Name = "NORWAY", Code =  "NO", Id =134},</v>
      </c>
    </row>
    <row r="136" spans="1:5" ht="15.75" thickBot="1" x14ac:dyDescent="0.3">
      <c r="A136">
        <f t="shared" si="5"/>
        <v>135</v>
      </c>
      <c r="B136" s="2" t="s">
        <v>268</v>
      </c>
      <c r="C136" s="3" t="s">
        <v>269</v>
      </c>
      <c r="D136" t="s">
        <v>1180</v>
      </c>
      <c r="E136" t="str">
        <f t="shared" si="4"/>
        <v>new Models.Country() {Name = "OMAN", Code =  "OM", Id =135},</v>
      </c>
    </row>
    <row r="137" spans="1:5" ht="15.75" thickBot="1" x14ac:dyDescent="0.3">
      <c r="A137">
        <f t="shared" si="5"/>
        <v>136</v>
      </c>
      <c r="B137" s="2" t="s">
        <v>270</v>
      </c>
      <c r="C137" s="3" t="s">
        <v>271</v>
      </c>
      <c r="D137" t="s">
        <v>1181</v>
      </c>
      <c r="E137" t="str">
        <f t="shared" si="4"/>
        <v>new Models.Country() {Name = "PALAU", Code =  "PW", Id =136},</v>
      </c>
    </row>
    <row r="138" spans="1:5" ht="15.75" thickBot="1" x14ac:dyDescent="0.3">
      <c r="A138">
        <f t="shared" si="5"/>
        <v>137</v>
      </c>
      <c r="B138" s="2" t="s">
        <v>272</v>
      </c>
      <c r="C138" s="3" t="s">
        <v>273</v>
      </c>
      <c r="D138" t="s">
        <v>1182</v>
      </c>
      <c r="E138" t="str">
        <f t="shared" si="4"/>
        <v>new Models.Country() {Name = "PANAMA", Code =  "PA", Id =137},</v>
      </c>
    </row>
    <row r="139" spans="1:5" ht="29.25" thickBot="1" x14ac:dyDescent="0.3">
      <c r="A139">
        <f t="shared" si="5"/>
        <v>138</v>
      </c>
      <c r="B139" s="2" t="s">
        <v>274</v>
      </c>
      <c r="C139" s="3" t="s">
        <v>275</v>
      </c>
      <c r="D139" t="s">
        <v>1183</v>
      </c>
      <c r="E139" t="str">
        <f t="shared" si="4"/>
        <v>new Models.Country() {Name = "PAPUA NEW GUINEA", Code =  "PG", Id =138},</v>
      </c>
    </row>
    <row r="140" spans="1:5" ht="15.75" thickBot="1" x14ac:dyDescent="0.3">
      <c r="A140">
        <f t="shared" si="5"/>
        <v>139</v>
      </c>
      <c r="B140" s="2" t="s">
        <v>276</v>
      </c>
      <c r="C140" s="3" t="s">
        <v>277</v>
      </c>
      <c r="D140" t="s">
        <v>1184</v>
      </c>
      <c r="E140" t="str">
        <f t="shared" si="4"/>
        <v>new Models.Country() {Name = "PARAGUAY", Code =  "PY", Id =139},</v>
      </c>
    </row>
    <row r="141" spans="1:5" ht="15.75" thickBot="1" x14ac:dyDescent="0.3">
      <c r="A141">
        <f t="shared" si="5"/>
        <v>140</v>
      </c>
      <c r="B141" s="2" t="s">
        <v>278</v>
      </c>
      <c r="C141" s="3" t="s">
        <v>279</v>
      </c>
      <c r="D141" t="s">
        <v>1185</v>
      </c>
      <c r="E141" t="str">
        <f t="shared" si="4"/>
        <v>new Models.Country() {Name = "PERU", Code =  "PE", Id =140},</v>
      </c>
    </row>
    <row r="142" spans="1:5" ht="15.75" thickBot="1" x14ac:dyDescent="0.3">
      <c r="A142">
        <f t="shared" si="5"/>
        <v>141</v>
      </c>
      <c r="B142" s="2" t="s">
        <v>280</v>
      </c>
      <c r="C142" s="3" t="s">
        <v>281</v>
      </c>
      <c r="D142" t="s">
        <v>1186</v>
      </c>
      <c r="E142" t="str">
        <f t="shared" si="4"/>
        <v>new Models.Country() {Name = "PHILIPPINES", Code =  "PH", Id =141},</v>
      </c>
    </row>
    <row r="143" spans="1:5" ht="15.75" thickBot="1" x14ac:dyDescent="0.3">
      <c r="A143">
        <f t="shared" si="5"/>
        <v>142</v>
      </c>
      <c r="B143" s="2" t="s">
        <v>282</v>
      </c>
      <c r="C143" s="3" t="s">
        <v>283</v>
      </c>
      <c r="D143" t="s">
        <v>1187</v>
      </c>
      <c r="E143" t="str">
        <f t="shared" si="4"/>
        <v>new Models.Country() {Name = "PITCAIRN ISLANDS", Code =  "PN", Id =142},</v>
      </c>
    </row>
    <row r="144" spans="1:5" ht="15.75" thickBot="1" x14ac:dyDescent="0.3">
      <c r="A144">
        <f t="shared" si="5"/>
        <v>143</v>
      </c>
      <c r="B144" s="2" t="s">
        <v>284</v>
      </c>
      <c r="C144" s="3" t="s">
        <v>285</v>
      </c>
      <c r="D144" t="s">
        <v>1188</v>
      </c>
      <c r="E144" t="str">
        <f t="shared" si="4"/>
        <v>new Models.Country() {Name = "POLAND", Code =  "PL", Id =143},</v>
      </c>
    </row>
    <row r="145" spans="1:5" ht="15.75" thickBot="1" x14ac:dyDescent="0.3">
      <c r="A145">
        <f t="shared" si="5"/>
        <v>144</v>
      </c>
      <c r="B145" s="2" t="s">
        <v>286</v>
      </c>
      <c r="C145" s="3" t="s">
        <v>287</v>
      </c>
      <c r="D145" t="s">
        <v>1189</v>
      </c>
      <c r="E145" t="str">
        <f t="shared" si="4"/>
        <v>new Models.Country() {Name = "PORTUGAL", Code =  "PT", Id =144},</v>
      </c>
    </row>
    <row r="146" spans="1:5" ht="15.75" thickBot="1" x14ac:dyDescent="0.3">
      <c r="A146">
        <f t="shared" si="5"/>
        <v>145</v>
      </c>
      <c r="B146" s="2" t="s">
        <v>288</v>
      </c>
      <c r="C146" s="3" t="s">
        <v>289</v>
      </c>
      <c r="D146" t="s">
        <v>1190</v>
      </c>
      <c r="E146" t="str">
        <f t="shared" si="4"/>
        <v>new Models.Country() {Name = "QATAR", Code =  "QA", Id =145},</v>
      </c>
    </row>
    <row r="147" spans="1:5" ht="15.75" thickBot="1" x14ac:dyDescent="0.3">
      <c r="A147">
        <f t="shared" si="5"/>
        <v>146</v>
      </c>
      <c r="B147" s="2" t="s">
        <v>290</v>
      </c>
      <c r="C147" s="3" t="s">
        <v>291</v>
      </c>
      <c r="D147" t="s">
        <v>1191</v>
      </c>
      <c r="E147" t="str">
        <f t="shared" si="4"/>
        <v>new Models.Country() {Name = "RÉUNION", Code =  "RE", Id =146},</v>
      </c>
    </row>
    <row r="148" spans="1:5" ht="15.75" thickBot="1" x14ac:dyDescent="0.3">
      <c r="A148">
        <f t="shared" si="5"/>
        <v>147</v>
      </c>
      <c r="B148" s="2" t="s">
        <v>292</v>
      </c>
      <c r="C148" s="3" t="s">
        <v>293</v>
      </c>
      <c r="D148" t="s">
        <v>1192</v>
      </c>
      <c r="E148" t="str">
        <f t="shared" si="4"/>
        <v>new Models.Country() {Name = "ROMANIA", Code =  "RO", Id =147},</v>
      </c>
    </row>
    <row r="149" spans="1:5" ht="15.75" thickBot="1" x14ac:dyDescent="0.3">
      <c r="A149">
        <f t="shared" si="5"/>
        <v>148</v>
      </c>
      <c r="B149" s="2" t="s">
        <v>294</v>
      </c>
      <c r="C149" s="3" t="s">
        <v>295</v>
      </c>
      <c r="D149" t="s">
        <v>1193</v>
      </c>
      <c r="E149" t="str">
        <f t="shared" si="4"/>
        <v>new Models.Country() {Name = "RUSSIA", Code =  "RU", Id =148},</v>
      </c>
    </row>
    <row r="150" spans="1:5" ht="15.75" thickBot="1" x14ac:dyDescent="0.3">
      <c r="A150">
        <f t="shared" si="5"/>
        <v>149</v>
      </c>
      <c r="B150" s="2" t="s">
        <v>296</v>
      </c>
      <c r="C150" s="3" t="s">
        <v>297</v>
      </c>
      <c r="D150" t="s">
        <v>1194</v>
      </c>
      <c r="E150" t="str">
        <f t="shared" si="4"/>
        <v>new Models.Country() {Name = "RWANDA", Code =  "RW", Id =149},</v>
      </c>
    </row>
    <row r="151" spans="1:5" ht="15.75" thickBot="1" x14ac:dyDescent="0.3">
      <c r="A151">
        <f t="shared" si="5"/>
        <v>150</v>
      </c>
      <c r="B151" s="2" t="s">
        <v>298</v>
      </c>
      <c r="C151" s="3" t="s">
        <v>299</v>
      </c>
      <c r="D151" t="s">
        <v>1195</v>
      </c>
      <c r="E151" t="str">
        <f t="shared" si="4"/>
        <v>new Models.Country() {Name = "SAMOA", Code =  "WS", Id =150},</v>
      </c>
    </row>
    <row r="152" spans="1:5" ht="15.75" thickBot="1" x14ac:dyDescent="0.3">
      <c r="A152">
        <f t="shared" si="5"/>
        <v>151</v>
      </c>
      <c r="B152" s="2" t="s">
        <v>300</v>
      </c>
      <c r="C152" s="3" t="s">
        <v>301</v>
      </c>
      <c r="D152" t="s">
        <v>1196</v>
      </c>
      <c r="E152" t="str">
        <f t="shared" si="4"/>
        <v>new Models.Country() {Name = "SAN MARINO", Code =  "SM", Id =151},</v>
      </c>
    </row>
    <row r="153" spans="1:5" ht="29.25" thickBot="1" x14ac:dyDescent="0.3">
      <c r="A153">
        <f t="shared" si="5"/>
        <v>152</v>
      </c>
      <c r="B153" s="2" t="s">
        <v>302</v>
      </c>
      <c r="C153" s="3" t="s">
        <v>303</v>
      </c>
      <c r="D153" t="s">
        <v>1197</v>
      </c>
      <c r="E153" t="str">
        <f t="shared" si="4"/>
        <v>new Models.Country() {Name = "SÃO TOMÉ &amp; PRÍNCIPE", Code =  "ST", Id =152},</v>
      </c>
    </row>
    <row r="154" spans="1:5" ht="15.75" thickBot="1" x14ac:dyDescent="0.3">
      <c r="A154">
        <f t="shared" si="5"/>
        <v>153</v>
      </c>
      <c r="B154" s="2" t="s">
        <v>304</v>
      </c>
      <c r="C154" s="3" t="s">
        <v>305</v>
      </c>
      <c r="D154" t="s">
        <v>1198</v>
      </c>
      <c r="E154" t="str">
        <f t="shared" si="4"/>
        <v>new Models.Country() {Name = "SAUDI ARABIA", Code =  "SA", Id =153},</v>
      </c>
    </row>
    <row r="155" spans="1:5" ht="15.75" thickBot="1" x14ac:dyDescent="0.3">
      <c r="A155">
        <f t="shared" si="5"/>
        <v>154</v>
      </c>
      <c r="B155" s="2" t="s">
        <v>306</v>
      </c>
      <c r="C155" s="3" t="s">
        <v>307</v>
      </c>
      <c r="D155" t="s">
        <v>1199</v>
      </c>
      <c r="E155" t="str">
        <f t="shared" si="4"/>
        <v>new Models.Country() {Name = "SENEGAL", Code =  "SN", Id =154},</v>
      </c>
    </row>
    <row r="156" spans="1:5" ht="15.75" thickBot="1" x14ac:dyDescent="0.3">
      <c r="A156">
        <f t="shared" si="5"/>
        <v>155</v>
      </c>
      <c r="B156" s="2" t="s">
        <v>308</v>
      </c>
      <c r="C156" s="3" t="s">
        <v>309</v>
      </c>
      <c r="D156" t="s">
        <v>1200</v>
      </c>
      <c r="E156" t="str">
        <f t="shared" si="4"/>
        <v>new Models.Country() {Name = "SERBIA", Code =  "RS", Id =155},</v>
      </c>
    </row>
    <row r="157" spans="1:5" ht="15.75" thickBot="1" x14ac:dyDescent="0.3">
      <c r="A157">
        <f t="shared" si="5"/>
        <v>156</v>
      </c>
      <c r="B157" s="2" t="s">
        <v>310</v>
      </c>
      <c r="C157" s="3" t="s">
        <v>311</v>
      </c>
      <c r="D157" t="s">
        <v>1201</v>
      </c>
      <c r="E157" t="str">
        <f t="shared" si="4"/>
        <v>new Models.Country() {Name = "SEYCHELLES", Code =  "SC", Id =156},</v>
      </c>
    </row>
    <row r="158" spans="1:5" ht="15.75" thickBot="1" x14ac:dyDescent="0.3">
      <c r="A158">
        <f t="shared" si="5"/>
        <v>157</v>
      </c>
      <c r="B158" s="2" t="s">
        <v>312</v>
      </c>
      <c r="C158" s="3" t="s">
        <v>313</v>
      </c>
      <c r="D158" t="s">
        <v>1202</v>
      </c>
      <c r="E158" t="str">
        <f t="shared" si="4"/>
        <v>new Models.Country() {Name = "SIERRA LEONE", Code =  "SL", Id =157},</v>
      </c>
    </row>
    <row r="159" spans="1:5" ht="15.75" thickBot="1" x14ac:dyDescent="0.3">
      <c r="A159">
        <f t="shared" si="5"/>
        <v>158</v>
      </c>
      <c r="B159" s="2" t="s">
        <v>314</v>
      </c>
      <c r="C159" s="3" t="s">
        <v>315</v>
      </c>
      <c r="D159" t="s">
        <v>1203</v>
      </c>
      <c r="E159" t="str">
        <f t="shared" si="4"/>
        <v>new Models.Country() {Name = "SINGAPORE", Code =  "SG", Id =158},</v>
      </c>
    </row>
    <row r="160" spans="1:5" ht="15.75" thickBot="1" x14ac:dyDescent="0.3">
      <c r="A160">
        <f t="shared" si="5"/>
        <v>159</v>
      </c>
      <c r="B160" s="2" t="s">
        <v>316</v>
      </c>
      <c r="C160" s="3" t="s">
        <v>317</v>
      </c>
      <c r="D160" t="s">
        <v>1204</v>
      </c>
      <c r="E160" t="str">
        <f t="shared" si="4"/>
        <v>new Models.Country() {Name = "SLOVAKIA", Code =  "SK", Id =159},</v>
      </c>
    </row>
    <row r="161" spans="1:5" ht="15.75" thickBot="1" x14ac:dyDescent="0.3">
      <c r="A161">
        <f t="shared" si="5"/>
        <v>160</v>
      </c>
      <c r="B161" s="2" t="s">
        <v>318</v>
      </c>
      <c r="C161" s="3" t="s">
        <v>319</v>
      </c>
      <c r="D161" t="s">
        <v>1205</v>
      </c>
      <c r="E161" t="str">
        <f t="shared" si="4"/>
        <v>new Models.Country() {Name = "SLOVENIA", Code =  "SI", Id =160},</v>
      </c>
    </row>
    <row r="162" spans="1:5" ht="29.25" thickBot="1" x14ac:dyDescent="0.3">
      <c r="A162">
        <f t="shared" si="5"/>
        <v>161</v>
      </c>
      <c r="B162" s="2" t="s">
        <v>320</v>
      </c>
      <c r="C162" s="3" t="s">
        <v>321</v>
      </c>
      <c r="D162" t="s">
        <v>1206</v>
      </c>
      <c r="E162" t="str">
        <f t="shared" si="4"/>
        <v>new Models.Country() {Name = "SOLOMON ISLANDS", Code =  "SB", Id =161},</v>
      </c>
    </row>
    <row r="163" spans="1:5" ht="15.75" thickBot="1" x14ac:dyDescent="0.3">
      <c r="A163">
        <f t="shared" si="5"/>
        <v>162</v>
      </c>
      <c r="B163" s="2" t="s">
        <v>322</v>
      </c>
      <c r="C163" s="3" t="s">
        <v>323</v>
      </c>
      <c r="D163" t="s">
        <v>1207</v>
      </c>
      <c r="E163" t="str">
        <f t="shared" si="4"/>
        <v>new Models.Country() {Name = "SOMALIA", Code =  "SO", Id =162},</v>
      </c>
    </row>
    <row r="164" spans="1:5" ht="15.75" thickBot="1" x14ac:dyDescent="0.3">
      <c r="A164">
        <f t="shared" si="5"/>
        <v>163</v>
      </c>
      <c r="B164" s="2" t="s">
        <v>324</v>
      </c>
      <c r="C164" s="3" t="s">
        <v>325</v>
      </c>
      <c r="D164" t="s">
        <v>1208</v>
      </c>
      <c r="E164" t="str">
        <f t="shared" si="4"/>
        <v>new Models.Country() {Name = "SOUTH AFRICA", Code =  "ZA", Id =163},</v>
      </c>
    </row>
    <row r="165" spans="1:5" ht="15.75" thickBot="1" x14ac:dyDescent="0.3">
      <c r="A165">
        <f t="shared" si="5"/>
        <v>164</v>
      </c>
      <c r="B165" s="2" t="s">
        <v>326</v>
      </c>
      <c r="C165" s="3" t="s">
        <v>327</v>
      </c>
      <c r="D165" t="s">
        <v>1209</v>
      </c>
      <c r="E165" t="str">
        <f t="shared" si="4"/>
        <v>new Models.Country() {Name = "SOUTH KOREA", Code =  "KR", Id =164},</v>
      </c>
    </row>
    <row r="166" spans="1:5" ht="15.75" thickBot="1" x14ac:dyDescent="0.3">
      <c r="A166">
        <f t="shared" si="5"/>
        <v>165</v>
      </c>
      <c r="B166" s="2" t="s">
        <v>328</v>
      </c>
      <c r="C166" s="3" t="s">
        <v>329</v>
      </c>
      <c r="D166" t="s">
        <v>1210</v>
      </c>
      <c r="E166" t="str">
        <f t="shared" si="4"/>
        <v>new Models.Country() {Name = "SPAIN", Code =  "ES", Id =165},</v>
      </c>
    </row>
    <row r="167" spans="1:5" ht="15.75" thickBot="1" x14ac:dyDescent="0.3">
      <c r="A167">
        <f t="shared" si="5"/>
        <v>166</v>
      </c>
      <c r="B167" s="2" t="s">
        <v>330</v>
      </c>
      <c r="C167" s="3" t="s">
        <v>331</v>
      </c>
      <c r="D167" t="s">
        <v>1211</v>
      </c>
      <c r="E167" t="str">
        <f t="shared" si="4"/>
        <v>new Models.Country() {Name = "SRI LANKA", Code =  "LK", Id =166},</v>
      </c>
    </row>
    <row r="168" spans="1:5" ht="15.75" thickBot="1" x14ac:dyDescent="0.3">
      <c r="A168">
        <f t="shared" si="5"/>
        <v>167</v>
      </c>
      <c r="B168" s="2" t="s">
        <v>332</v>
      </c>
      <c r="C168" s="3" t="s">
        <v>333</v>
      </c>
      <c r="D168" t="s">
        <v>1212</v>
      </c>
      <c r="E168" t="str">
        <f t="shared" si="4"/>
        <v>new Models.Country() {Name = "ST. HELENA", Code =  "SH", Id =167},</v>
      </c>
    </row>
    <row r="169" spans="1:5" ht="15.75" thickBot="1" x14ac:dyDescent="0.3">
      <c r="A169">
        <f t="shared" si="5"/>
        <v>168</v>
      </c>
      <c r="B169" s="2" t="s">
        <v>334</v>
      </c>
      <c r="C169" s="3" t="s">
        <v>335</v>
      </c>
      <c r="D169" t="s">
        <v>1213</v>
      </c>
      <c r="E169" t="str">
        <f t="shared" si="4"/>
        <v>new Models.Country() {Name = "ST. KITTS &amp; NEVIS", Code =  "KN", Id =168},</v>
      </c>
    </row>
    <row r="170" spans="1:5" ht="15.75" thickBot="1" x14ac:dyDescent="0.3">
      <c r="A170">
        <f t="shared" si="5"/>
        <v>169</v>
      </c>
      <c r="B170" s="2" t="s">
        <v>336</v>
      </c>
      <c r="C170" s="3" t="s">
        <v>337</v>
      </c>
      <c r="D170" t="s">
        <v>1214</v>
      </c>
      <c r="E170" t="str">
        <f t="shared" si="4"/>
        <v>new Models.Country() {Name = "ST. LUCIA", Code =  "LC", Id =169},</v>
      </c>
    </row>
    <row r="171" spans="1:5" ht="29.25" thickBot="1" x14ac:dyDescent="0.3">
      <c r="A171">
        <f t="shared" si="5"/>
        <v>170</v>
      </c>
      <c r="B171" s="2" t="s">
        <v>338</v>
      </c>
      <c r="C171" s="3" t="s">
        <v>339</v>
      </c>
      <c r="D171" t="s">
        <v>1215</v>
      </c>
      <c r="E171" t="str">
        <f t="shared" si="4"/>
        <v>new Models.Country() {Name = "ST. PIERRE &amp; MIQUELON", Code =  "PM", Id =170},</v>
      </c>
    </row>
    <row r="172" spans="1:5" ht="29.25" thickBot="1" x14ac:dyDescent="0.3">
      <c r="A172">
        <f t="shared" si="5"/>
        <v>171</v>
      </c>
      <c r="B172" s="2" t="s">
        <v>340</v>
      </c>
      <c r="C172" s="3" t="s">
        <v>341</v>
      </c>
      <c r="D172" t="s">
        <v>1216</v>
      </c>
      <c r="E172" t="str">
        <f t="shared" si="4"/>
        <v>new Models.Country() {Name = "ST. VINCENT &amp; GRENADINES", Code =  "VC", Id =171},</v>
      </c>
    </row>
    <row r="173" spans="1:5" ht="15.75" thickBot="1" x14ac:dyDescent="0.3">
      <c r="A173">
        <f t="shared" si="5"/>
        <v>172</v>
      </c>
      <c r="B173" s="2" t="s">
        <v>342</v>
      </c>
      <c r="C173" s="3" t="s">
        <v>343</v>
      </c>
      <c r="D173" t="s">
        <v>1217</v>
      </c>
      <c r="E173" t="str">
        <f t="shared" si="4"/>
        <v>new Models.Country() {Name = "SURINAME", Code =  "SR", Id =172},</v>
      </c>
    </row>
    <row r="174" spans="1:5" ht="29.25" thickBot="1" x14ac:dyDescent="0.3">
      <c r="A174">
        <f t="shared" si="5"/>
        <v>173</v>
      </c>
      <c r="B174" s="2" t="s">
        <v>344</v>
      </c>
      <c r="C174" s="3" t="s">
        <v>345</v>
      </c>
      <c r="D174" t="s">
        <v>1218</v>
      </c>
      <c r="E174" t="str">
        <f t="shared" si="4"/>
        <v>new Models.Country() {Name = "SVALBARD &amp; JAN MAYEN", Code =  "SJ", Id =173},</v>
      </c>
    </row>
    <row r="175" spans="1:5" ht="15.75" thickBot="1" x14ac:dyDescent="0.3">
      <c r="A175">
        <f t="shared" si="5"/>
        <v>174</v>
      </c>
      <c r="B175" s="2" t="s">
        <v>346</v>
      </c>
      <c r="C175" s="3" t="s">
        <v>347</v>
      </c>
      <c r="D175" t="s">
        <v>1219</v>
      </c>
      <c r="E175" t="str">
        <f t="shared" si="4"/>
        <v>new Models.Country() {Name = "SWAZILAND", Code =  "SZ", Id =174},</v>
      </c>
    </row>
    <row r="176" spans="1:5" ht="15.75" thickBot="1" x14ac:dyDescent="0.3">
      <c r="A176">
        <f t="shared" si="5"/>
        <v>175</v>
      </c>
      <c r="B176" s="2" t="s">
        <v>348</v>
      </c>
      <c r="C176" s="3" t="s">
        <v>349</v>
      </c>
      <c r="D176" t="s">
        <v>1220</v>
      </c>
      <c r="E176" t="str">
        <f t="shared" si="4"/>
        <v>new Models.Country() {Name = "SWEDEN", Code =  "SE", Id =175},</v>
      </c>
    </row>
    <row r="177" spans="1:5" ht="15.75" thickBot="1" x14ac:dyDescent="0.3">
      <c r="A177">
        <f t="shared" si="5"/>
        <v>176</v>
      </c>
      <c r="B177" s="2" t="s">
        <v>350</v>
      </c>
      <c r="C177" s="3" t="s">
        <v>351</v>
      </c>
      <c r="D177" t="s">
        <v>1221</v>
      </c>
      <c r="E177" t="str">
        <f t="shared" si="4"/>
        <v>new Models.Country() {Name = "SWITZERLAND", Code =  "CH", Id =176},</v>
      </c>
    </row>
    <row r="178" spans="1:5" ht="15.75" thickBot="1" x14ac:dyDescent="0.3">
      <c r="A178">
        <f t="shared" si="5"/>
        <v>177</v>
      </c>
      <c r="B178" s="2" t="s">
        <v>352</v>
      </c>
      <c r="C178" s="3" t="s">
        <v>353</v>
      </c>
      <c r="D178" t="s">
        <v>1222</v>
      </c>
      <c r="E178" t="str">
        <f t="shared" si="4"/>
        <v>new Models.Country() {Name = "TAIWAN", Code =  "TW", Id =177},</v>
      </c>
    </row>
    <row r="179" spans="1:5" ht="15.75" thickBot="1" x14ac:dyDescent="0.3">
      <c r="A179">
        <f t="shared" si="5"/>
        <v>178</v>
      </c>
      <c r="B179" s="2" t="s">
        <v>354</v>
      </c>
      <c r="C179" s="3" t="s">
        <v>355</v>
      </c>
      <c r="D179" t="s">
        <v>1223</v>
      </c>
      <c r="E179" t="str">
        <f t="shared" si="4"/>
        <v>new Models.Country() {Name = "TAJIKISTAN", Code =  "TJ", Id =178},</v>
      </c>
    </row>
    <row r="180" spans="1:5" ht="15.75" thickBot="1" x14ac:dyDescent="0.3">
      <c r="A180">
        <f t="shared" si="5"/>
        <v>179</v>
      </c>
      <c r="B180" s="2" t="s">
        <v>356</v>
      </c>
      <c r="C180" s="3" t="s">
        <v>357</v>
      </c>
      <c r="D180" t="s">
        <v>1224</v>
      </c>
      <c r="E180" t="str">
        <f t="shared" si="4"/>
        <v>new Models.Country() {Name = "TANZANIA", Code =  "TZ", Id =179},</v>
      </c>
    </row>
    <row r="181" spans="1:5" ht="15.75" thickBot="1" x14ac:dyDescent="0.3">
      <c r="A181">
        <f t="shared" si="5"/>
        <v>180</v>
      </c>
      <c r="B181" s="2" t="s">
        <v>358</v>
      </c>
      <c r="C181" s="3" t="s">
        <v>359</v>
      </c>
      <c r="D181" t="s">
        <v>1225</v>
      </c>
      <c r="E181" t="str">
        <f t="shared" si="4"/>
        <v>new Models.Country() {Name = "THAILAND", Code =  "TH", Id =180},</v>
      </c>
    </row>
    <row r="182" spans="1:5" ht="15.75" thickBot="1" x14ac:dyDescent="0.3">
      <c r="A182">
        <f t="shared" si="5"/>
        <v>181</v>
      </c>
      <c r="B182" s="2" t="s">
        <v>360</v>
      </c>
      <c r="C182" s="3" t="s">
        <v>361</v>
      </c>
      <c r="D182" t="s">
        <v>1226</v>
      </c>
      <c r="E182" t="str">
        <f t="shared" si="4"/>
        <v>new Models.Country() {Name = "TOGO", Code =  "TG", Id =181},</v>
      </c>
    </row>
    <row r="183" spans="1:5" ht="15.75" thickBot="1" x14ac:dyDescent="0.3">
      <c r="A183">
        <f t="shared" si="5"/>
        <v>182</v>
      </c>
      <c r="B183" s="2" t="s">
        <v>362</v>
      </c>
      <c r="C183" s="3" t="s">
        <v>363</v>
      </c>
      <c r="D183" t="s">
        <v>1227</v>
      </c>
      <c r="E183" t="str">
        <f t="shared" si="4"/>
        <v>new Models.Country() {Name = "TONGA", Code =  "TO", Id =182},</v>
      </c>
    </row>
    <row r="184" spans="1:5" ht="29.25" thickBot="1" x14ac:dyDescent="0.3">
      <c r="A184">
        <f t="shared" si="5"/>
        <v>183</v>
      </c>
      <c r="B184" s="2" t="s">
        <v>364</v>
      </c>
      <c r="C184" s="3" t="s">
        <v>365</v>
      </c>
      <c r="D184" t="s">
        <v>1228</v>
      </c>
      <c r="E184" t="str">
        <f t="shared" si="4"/>
        <v>new Models.Country() {Name = "TRINIDAD &amp; TOBAGO", Code =  "TT", Id =183},</v>
      </c>
    </row>
    <row r="185" spans="1:5" ht="15.75" thickBot="1" x14ac:dyDescent="0.3">
      <c r="A185">
        <f t="shared" si="5"/>
        <v>184</v>
      </c>
      <c r="B185" s="2" t="s">
        <v>366</v>
      </c>
      <c r="C185" s="3" t="s">
        <v>367</v>
      </c>
      <c r="D185" t="s">
        <v>1229</v>
      </c>
      <c r="E185" t="str">
        <f t="shared" si="4"/>
        <v>new Models.Country() {Name = "TUNISIA", Code =  "TN", Id =184},</v>
      </c>
    </row>
    <row r="186" spans="1:5" ht="15.75" thickBot="1" x14ac:dyDescent="0.3">
      <c r="A186">
        <f t="shared" si="5"/>
        <v>185</v>
      </c>
      <c r="B186" s="2" t="s">
        <v>368</v>
      </c>
      <c r="C186" s="3" t="s">
        <v>369</v>
      </c>
      <c r="D186" t="s">
        <v>1230</v>
      </c>
      <c r="E186" t="str">
        <f t="shared" si="4"/>
        <v>new Models.Country() {Name = "TURKMENISTAN", Code =  "TM", Id =185},</v>
      </c>
    </row>
    <row r="187" spans="1:5" ht="29.25" thickBot="1" x14ac:dyDescent="0.3">
      <c r="A187">
        <f t="shared" si="5"/>
        <v>186</v>
      </c>
      <c r="B187" s="2" t="s">
        <v>370</v>
      </c>
      <c r="C187" s="3" t="s">
        <v>371</v>
      </c>
      <c r="D187" t="s">
        <v>1231</v>
      </c>
      <c r="E187" t="str">
        <f t="shared" si="4"/>
        <v>new Models.Country() {Name = "TURKS &amp; CAICOS ISLANDS", Code =  "TC", Id =186},</v>
      </c>
    </row>
    <row r="188" spans="1:5" ht="15.75" thickBot="1" x14ac:dyDescent="0.3">
      <c r="A188">
        <f t="shared" si="5"/>
        <v>187</v>
      </c>
      <c r="B188" s="2" t="s">
        <v>372</v>
      </c>
      <c r="C188" s="3" t="s">
        <v>373</v>
      </c>
      <c r="D188" t="s">
        <v>1232</v>
      </c>
      <c r="E188" t="str">
        <f t="shared" si="4"/>
        <v>new Models.Country() {Name = "TUVALU", Code =  "TV", Id =187},</v>
      </c>
    </row>
    <row r="189" spans="1:5" ht="15.75" thickBot="1" x14ac:dyDescent="0.3">
      <c r="A189">
        <f t="shared" si="5"/>
        <v>188</v>
      </c>
      <c r="B189" s="2" t="s">
        <v>374</v>
      </c>
      <c r="C189" s="3" t="s">
        <v>375</v>
      </c>
      <c r="D189" t="s">
        <v>1233</v>
      </c>
      <c r="E189" t="str">
        <f t="shared" si="4"/>
        <v>new Models.Country() {Name = "UGANDA", Code =  "UG", Id =188},</v>
      </c>
    </row>
    <row r="190" spans="1:5" ht="15.75" thickBot="1" x14ac:dyDescent="0.3">
      <c r="A190">
        <f t="shared" si="5"/>
        <v>189</v>
      </c>
      <c r="B190" s="2" t="s">
        <v>376</v>
      </c>
      <c r="C190" s="3" t="s">
        <v>377</v>
      </c>
      <c r="D190" t="s">
        <v>1234</v>
      </c>
      <c r="E190" t="str">
        <f t="shared" si="4"/>
        <v>new Models.Country() {Name = "UKRAINE", Code =  "UA", Id =189},</v>
      </c>
    </row>
    <row r="191" spans="1:5" ht="29.25" thickBot="1" x14ac:dyDescent="0.3">
      <c r="A191">
        <f t="shared" si="5"/>
        <v>190</v>
      </c>
      <c r="B191" s="2" t="s">
        <v>378</v>
      </c>
      <c r="C191" s="3" t="s">
        <v>379</v>
      </c>
      <c r="D191" t="s">
        <v>1235</v>
      </c>
      <c r="E191" t="str">
        <f t="shared" si="4"/>
        <v>new Models.Country() {Name = "UNITED ARAB EMIRATES", Code =  "AE", Id =190},</v>
      </c>
    </row>
    <row r="192" spans="1:5" ht="15.75" thickBot="1" x14ac:dyDescent="0.3">
      <c r="A192">
        <f t="shared" si="5"/>
        <v>191</v>
      </c>
      <c r="B192" s="2" t="s">
        <v>380</v>
      </c>
      <c r="C192" s="3" t="s">
        <v>381</v>
      </c>
      <c r="D192" t="s">
        <v>1236</v>
      </c>
      <c r="E192" t="str">
        <f t="shared" si="4"/>
        <v>new Models.Country() {Name = "UNITED KINGDOM", Code =  "GB", Id =191},</v>
      </c>
    </row>
    <row r="193" spans="1:5" ht="15.75" thickBot="1" x14ac:dyDescent="0.3">
      <c r="A193">
        <f t="shared" si="5"/>
        <v>192</v>
      </c>
      <c r="B193" s="2" t="s">
        <v>382</v>
      </c>
      <c r="C193" s="3" t="s">
        <v>383</v>
      </c>
      <c r="D193" t="s">
        <v>1237</v>
      </c>
      <c r="E193" t="str">
        <f t="shared" si="4"/>
        <v>new Models.Country() {Name = "UNITED STATES", Code =  "US", Id =192},</v>
      </c>
    </row>
    <row r="194" spans="1:5" ht="15.75" thickBot="1" x14ac:dyDescent="0.3">
      <c r="A194">
        <f t="shared" si="5"/>
        <v>193</v>
      </c>
      <c r="B194" s="2" t="s">
        <v>384</v>
      </c>
      <c r="C194" s="3" t="s">
        <v>385</v>
      </c>
      <c r="D194" t="s">
        <v>1238</v>
      </c>
      <c r="E194" t="str">
        <f t="shared" si="4"/>
        <v>new Models.Country() {Name = "URUGUAY", Code =  "UY", Id =193},</v>
      </c>
    </row>
    <row r="195" spans="1:5" ht="15.75" thickBot="1" x14ac:dyDescent="0.3">
      <c r="A195">
        <f t="shared" si="5"/>
        <v>194</v>
      </c>
      <c r="B195" s="2" t="s">
        <v>386</v>
      </c>
      <c r="C195" s="3" t="s">
        <v>387</v>
      </c>
      <c r="D195" t="s">
        <v>1239</v>
      </c>
      <c r="E195" t="str">
        <f t="shared" ref="E195:E202" si="6">"new Models.Country() {Name = """&amp;B195&amp;""", Code =  """&amp;C195&amp;""", Id ="&amp;A195&amp;"},"</f>
        <v>new Models.Country() {Name = "VANUATU", Code =  "VU", Id =194},</v>
      </c>
    </row>
    <row r="196" spans="1:5" ht="15.75" thickBot="1" x14ac:dyDescent="0.3">
      <c r="A196">
        <f t="shared" ref="A196:A202" si="7">A195+1</f>
        <v>195</v>
      </c>
      <c r="B196" s="2" t="s">
        <v>388</v>
      </c>
      <c r="C196" s="3" t="s">
        <v>389</v>
      </c>
      <c r="D196" t="s">
        <v>1240</v>
      </c>
      <c r="E196" t="str">
        <f t="shared" si="6"/>
        <v>new Models.Country() {Name = "VATICAN CITY", Code =  "VA", Id =195},</v>
      </c>
    </row>
    <row r="197" spans="1:5" ht="15.75" thickBot="1" x14ac:dyDescent="0.3">
      <c r="A197">
        <f t="shared" si="7"/>
        <v>196</v>
      </c>
      <c r="B197" s="2" t="s">
        <v>390</v>
      </c>
      <c r="C197" s="3" t="s">
        <v>391</v>
      </c>
      <c r="D197" t="s">
        <v>1241</v>
      </c>
      <c r="E197" t="str">
        <f t="shared" si="6"/>
        <v>new Models.Country() {Name = "VENEZUELA", Code =  "VE", Id =196},</v>
      </c>
    </row>
    <row r="198" spans="1:5" ht="15.75" thickBot="1" x14ac:dyDescent="0.3">
      <c r="A198">
        <f t="shared" si="7"/>
        <v>197</v>
      </c>
      <c r="B198" s="2" t="s">
        <v>392</v>
      </c>
      <c r="C198" s="3" t="s">
        <v>393</v>
      </c>
      <c r="D198" t="s">
        <v>1242</v>
      </c>
      <c r="E198" t="str">
        <f t="shared" si="6"/>
        <v>new Models.Country() {Name = "VIETNAM", Code =  "VN", Id =197},</v>
      </c>
    </row>
    <row r="199" spans="1:5" ht="15.75" thickBot="1" x14ac:dyDescent="0.3">
      <c r="A199">
        <f t="shared" si="7"/>
        <v>198</v>
      </c>
      <c r="B199" s="2" t="s">
        <v>394</v>
      </c>
      <c r="C199" s="3" t="s">
        <v>395</v>
      </c>
      <c r="D199" t="s">
        <v>1243</v>
      </c>
      <c r="E199" t="str">
        <f t="shared" si="6"/>
        <v>new Models.Country() {Name = "WALLIS &amp; FUTUNA", Code =  "WF", Id =198},</v>
      </c>
    </row>
    <row r="200" spans="1:5" ht="15.75" thickBot="1" x14ac:dyDescent="0.3">
      <c r="A200">
        <f t="shared" si="7"/>
        <v>199</v>
      </c>
      <c r="B200" s="2" t="s">
        <v>396</v>
      </c>
      <c r="C200" s="3" t="s">
        <v>397</v>
      </c>
      <c r="D200" t="s">
        <v>1244</v>
      </c>
      <c r="E200" t="str">
        <f t="shared" si="6"/>
        <v>new Models.Country() {Name = "YEMEN", Code =  "YE", Id =199},</v>
      </c>
    </row>
    <row r="201" spans="1:5" ht="15.75" thickBot="1" x14ac:dyDescent="0.3">
      <c r="A201">
        <f t="shared" si="7"/>
        <v>200</v>
      </c>
      <c r="B201" s="2" t="s">
        <v>398</v>
      </c>
      <c r="C201" s="3" t="s">
        <v>399</v>
      </c>
      <c r="D201" t="s">
        <v>1245</v>
      </c>
      <c r="E201" t="str">
        <f t="shared" si="6"/>
        <v>new Models.Country() {Name = "ZAMBIA", Code =  "ZM", Id =200},</v>
      </c>
    </row>
    <row r="202" spans="1:5" ht="15.75" thickBot="1" x14ac:dyDescent="0.3">
      <c r="A202">
        <f t="shared" si="7"/>
        <v>201</v>
      </c>
      <c r="B202" s="2" t="s">
        <v>400</v>
      </c>
      <c r="C202" s="3" t="s">
        <v>401</v>
      </c>
      <c r="D202" t="s">
        <v>1246</v>
      </c>
      <c r="E202" t="str">
        <f t="shared" si="6"/>
        <v>new Models.Country() {Name = "ZIMBABWE", Code =  "ZW", Id =201},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2"/>
  <sheetViews>
    <sheetView workbookViewId="0">
      <selection activeCell="F41" sqref="F41"/>
    </sheetView>
  </sheetViews>
  <sheetFormatPr defaultRowHeight="15" x14ac:dyDescent="0.25"/>
  <sheetData>
    <row r="1" spans="1:4" x14ac:dyDescent="0.25">
      <c r="A1" t="s">
        <v>1054</v>
      </c>
      <c r="B1" t="s">
        <v>404</v>
      </c>
      <c r="C1" t="s">
        <v>402</v>
      </c>
      <c r="D1" t="s">
        <v>403</v>
      </c>
    </row>
    <row r="2" spans="1:4" x14ac:dyDescent="0.25">
      <c r="A2" t="s">
        <v>1055</v>
      </c>
      <c r="B2">
        <v>1</v>
      </c>
      <c r="C2" t="s">
        <v>0</v>
      </c>
      <c r="D2" t="s">
        <v>1</v>
      </c>
    </row>
    <row r="3" spans="1:4" x14ac:dyDescent="0.25">
      <c r="A3" t="s">
        <v>1056</v>
      </c>
      <c r="B3">
        <v>2</v>
      </c>
      <c r="C3" t="s">
        <v>2</v>
      </c>
      <c r="D3" t="s">
        <v>3</v>
      </c>
    </row>
    <row r="4" spans="1:4" x14ac:dyDescent="0.25">
      <c r="A4" t="s">
        <v>1057</v>
      </c>
      <c r="B4">
        <v>3</v>
      </c>
      <c r="C4" t="s">
        <v>4</v>
      </c>
      <c r="D4" t="s">
        <v>5</v>
      </c>
    </row>
    <row r="5" spans="1:4" x14ac:dyDescent="0.25">
      <c r="A5" t="s">
        <v>1058</v>
      </c>
      <c r="B5">
        <v>4</v>
      </c>
      <c r="C5" t="s">
        <v>6</v>
      </c>
      <c r="D5" t="s">
        <v>7</v>
      </c>
    </row>
    <row r="6" spans="1:4" x14ac:dyDescent="0.25">
      <c r="A6" t="s">
        <v>1059</v>
      </c>
      <c r="B6">
        <v>5</v>
      </c>
      <c r="C6" t="s">
        <v>8</v>
      </c>
      <c r="D6" t="s">
        <v>9</v>
      </c>
    </row>
    <row r="7" spans="1:4" x14ac:dyDescent="0.25">
      <c r="A7" t="s">
        <v>1060</v>
      </c>
      <c r="B7">
        <v>6</v>
      </c>
      <c r="C7" t="s">
        <v>10</v>
      </c>
      <c r="D7" t="s">
        <v>11</v>
      </c>
    </row>
    <row r="8" spans="1:4" x14ac:dyDescent="0.25">
      <c r="A8" t="s">
        <v>409</v>
      </c>
      <c r="B8">
        <v>7</v>
      </c>
      <c r="C8" t="s">
        <v>12</v>
      </c>
      <c r="D8" t="s">
        <v>13</v>
      </c>
    </row>
    <row r="9" spans="1:4" x14ac:dyDescent="0.25">
      <c r="A9" t="s">
        <v>1061</v>
      </c>
      <c r="B9">
        <v>8</v>
      </c>
      <c r="C9" t="s">
        <v>14</v>
      </c>
      <c r="D9" t="s">
        <v>15</v>
      </c>
    </row>
    <row r="10" spans="1:4" x14ac:dyDescent="0.25">
      <c r="A10" t="s">
        <v>1062</v>
      </c>
      <c r="B10">
        <v>9</v>
      </c>
      <c r="C10" t="s">
        <v>16</v>
      </c>
      <c r="D10" t="s">
        <v>17</v>
      </c>
    </row>
    <row r="11" spans="1:4" x14ac:dyDescent="0.25">
      <c r="A11" t="s">
        <v>1063</v>
      </c>
      <c r="B11">
        <v>10</v>
      </c>
      <c r="C11" t="s">
        <v>18</v>
      </c>
      <c r="D11" t="s">
        <v>19</v>
      </c>
    </row>
    <row r="12" spans="1:4" x14ac:dyDescent="0.25">
      <c r="A12" t="s">
        <v>1064</v>
      </c>
      <c r="B12">
        <v>11</v>
      </c>
      <c r="C12" t="s">
        <v>20</v>
      </c>
      <c r="D12" t="s">
        <v>21</v>
      </c>
    </row>
    <row r="13" spans="1:4" x14ac:dyDescent="0.25">
      <c r="A13" t="s">
        <v>1065</v>
      </c>
      <c r="B13">
        <v>12</v>
      </c>
      <c r="C13" t="s">
        <v>22</v>
      </c>
      <c r="D13" t="s">
        <v>23</v>
      </c>
    </row>
    <row r="14" spans="1:4" x14ac:dyDescent="0.25">
      <c r="A14" t="s">
        <v>1066</v>
      </c>
      <c r="B14">
        <v>13</v>
      </c>
      <c r="C14" t="s">
        <v>24</v>
      </c>
      <c r="D14" t="s">
        <v>25</v>
      </c>
    </row>
    <row r="15" spans="1:4" x14ac:dyDescent="0.25">
      <c r="A15" t="s">
        <v>1067</v>
      </c>
      <c r="B15">
        <v>14</v>
      </c>
      <c r="C15" t="s">
        <v>26</v>
      </c>
      <c r="D15" t="s">
        <v>27</v>
      </c>
    </row>
    <row r="16" spans="1:4" x14ac:dyDescent="0.25">
      <c r="A16" t="s">
        <v>1068</v>
      </c>
      <c r="B16">
        <v>15</v>
      </c>
      <c r="C16" t="s">
        <v>28</v>
      </c>
      <c r="D16" t="s">
        <v>29</v>
      </c>
    </row>
    <row r="17" spans="1:4" x14ac:dyDescent="0.25">
      <c r="A17" t="s">
        <v>1069</v>
      </c>
      <c r="B17">
        <v>16</v>
      </c>
      <c r="C17" t="s">
        <v>30</v>
      </c>
      <c r="D17" t="s">
        <v>31</v>
      </c>
    </row>
    <row r="18" spans="1:4" x14ac:dyDescent="0.25">
      <c r="A18" t="s">
        <v>1070</v>
      </c>
      <c r="B18">
        <v>17</v>
      </c>
      <c r="C18" t="s">
        <v>32</v>
      </c>
      <c r="D18" t="s">
        <v>33</v>
      </c>
    </row>
    <row r="19" spans="1:4" x14ac:dyDescent="0.25">
      <c r="A19" t="s">
        <v>1071</v>
      </c>
      <c r="B19">
        <v>18</v>
      </c>
      <c r="C19" t="s">
        <v>34</v>
      </c>
      <c r="D19" t="s">
        <v>35</v>
      </c>
    </row>
    <row r="20" spans="1:4" x14ac:dyDescent="0.25">
      <c r="A20" t="s">
        <v>1072</v>
      </c>
      <c r="B20">
        <v>19</v>
      </c>
      <c r="C20" t="s">
        <v>36</v>
      </c>
      <c r="D20" t="s">
        <v>37</v>
      </c>
    </row>
    <row r="21" spans="1:4" x14ac:dyDescent="0.25">
      <c r="A21" t="s">
        <v>1073</v>
      </c>
      <c r="B21">
        <v>20</v>
      </c>
      <c r="C21" t="s">
        <v>38</v>
      </c>
      <c r="D21" t="s">
        <v>39</v>
      </c>
    </row>
    <row r="22" spans="1:4" x14ac:dyDescent="0.25">
      <c r="A22" t="s">
        <v>1074</v>
      </c>
      <c r="B22">
        <v>21</v>
      </c>
      <c r="C22" t="s">
        <v>40</v>
      </c>
      <c r="D22" t="s">
        <v>41</v>
      </c>
    </row>
    <row r="23" spans="1:4" x14ac:dyDescent="0.25">
      <c r="A23" t="s">
        <v>1075</v>
      </c>
      <c r="B23">
        <v>22</v>
      </c>
      <c r="C23" t="s">
        <v>42</v>
      </c>
      <c r="D23" t="s">
        <v>43</v>
      </c>
    </row>
    <row r="24" spans="1:4" x14ac:dyDescent="0.25">
      <c r="A24" t="s">
        <v>1076</v>
      </c>
      <c r="B24">
        <v>23</v>
      </c>
      <c r="C24" t="s">
        <v>44</v>
      </c>
      <c r="D24" t="s">
        <v>45</v>
      </c>
    </row>
    <row r="25" spans="1:4" x14ac:dyDescent="0.25">
      <c r="A25" t="s">
        <v>1077</v>
      </c>
      <c r="B25">
        <v>24</v>
      </c>
      <c r="C25" t="s">
        <v>46</v>
      </c>
      <c r="D25" t="s">
        <v>47</v>
      </c>
    </row>
    <row r="26" spans="1:4" x14ac:dyDescent="0.25">
      <c r="A26" t="s">
        <v>459</v>
      </c>
      <c r="B26">
        <v>25</v>
      </c>
      <c r="C26" t="s">
        <v>48</v>
      </c>
      <c r="D26" t="s">
        <v>49</v>
      </c>
    </row>
    <row r="27" spans="1:4" x14ac:dyDescent="0.25">
      <c r="A27" t="s">
        <v>1078</v>
      </c>
      <c r="B27">
        <v>26</v>
      </c>
      <c r="C27" t="s">
        <v>50</v>
      </c>
      <c r="D27" t="s">
        <v>51</v>
      </c>
    </row>
    <row r="28" spans="1:4" x14ac:dyDescent="0.25">
      <c r="A28" t="s">
        <v>1079</v>
      </c>
      <c r="B28">
        <v>27</v>
      </c>
      <c r="C28" t="s">
        <v>52</v>
      </c>
      <c r="D28" t="s">
        <v>53</v>
      </c>
    </row>
    <row r="29" spans="1:4" x14ac:dyDescent="0.25">
      <c r="A29" t="s">
        <v>1080</v>
      </c>
      <c r="B29">
        <v>28</v>
      </c>
      <c r="C29" t="s">
        <v>54</v>
      </c>
      <c r="D29" t="s">
        <v>55</v>
      </c>
    </row>
    <row r="30" spans="1:4" x14ac:dyDescent="0.25">
      <c r="A30" t="s">
        <v>1081</v>
      </c>
      <c r="B30">
        <v>29</v>
      </c>
      <c r="C30" t="s">
        <v>56</v>
      </c>
      <c r="D30" t="s">
        <v>57</v>
      </c>
    </row>
    <row r="31" spans="1:4" x14ac:dyDescent="0.25">
      <c r="A31" t="s">
        <v>1082</v>
      </c>
      <c r="B31">
        <v>30</v>
      </c>
      <c r="C31" t="s">
        <v>58</v>
      </c>
      <c r="D31" t="s">
        <v>59</v>
      </c>
    </row>
    <row r="32" spans="1:4" x14ac:dyDescent="0.25">
      <c r="A32" t="s">
        <v>1083</v>
      </c>
      <c r="B32">
        <v>31</v>
      </c>
      <c r="C32" t="s">
        <v>60</v>
      </c>
      <c r="D32" t="s">
        <v>61</v>
      </c>
    </row>
    <row r="33" spans="1:4" x14ac:dyDescent="0.25">
      <c r="A33" t="s">
        <v>1084</v>
      </c>
      <c r="B33">
        <v>32</v>
      </c>
      <c r="C33" t="s">
        <v>62</v>
      </c>
      <c r="D33" t="s">
        <v>63</v>
      </c>
    </row>
    <row r="34" spans="1:4" x14ac:dyDescent="0.25">
      <c r="A34" t="s">
        <v>500</v>
      </c>
      <c r="B34">
        <v>33</v>
      </c>
      <c r="C34" t="s">
        <v>64</v>
      </c>
      <c r="D34" t="s">
        <v>65</v>
      </c>
    </row>
    <row r="35" spans="1:4" x14ac:dyDescent="0.25">
      <c r="A35" t="s">
        <v>1085</v>
      </c>
      <c r="B35">
        <v>34</v>
      </c>
      <c r="C35" t="s">
        <v>66</v>
      </c>
      <c r="D35" t="s">
        <v>67</v>
      </c>
    </row>
    <row r="36" spans="1:4" x14ac:dyDescent="0.25">
      <c r="A36" t="s">
        <v>1086</v>
      </c>
      <c r="B36">
        <v>35</v>
      </c>
      <c r="C36" t="s">
        <v>68</v>
      </c>
      <c r="D36" t="s">
        <v>69</v>
      </c>
    </row>
    <row r="37" spans="1:4" x14ac:dyDescent="0.25">
      <c r="A37" t="s">
        <v>1087</v>
      </c>
      <c r="B37">
        <v>36</v>
      </c>
      <c r="C37" t="s">
        <v>70</v>
      </c>
      <c r="D37" t="s">
        <v>71</v>
      </c>
    </row>
    <row r="38" spans="1:4" x14ac:dyDescent="0.25">
      <c r="A38" t="s">
        <v>1088</v>
      </c>
      <c r="B38">
        <v>37</v>
      </c>
      <c r="C38" t="s">
        <v>72</v>
      </c>
      <c r="D38" t="s">
        <v>73</v>
      </c>
    </row>
    <row r="39" spans="1:4" x14ac:dyDescent="0.25">
      <c r="A39" t="s">
        <v>522</v>
      </c>
      <c r="B39">
        <v>38</v>
      </c>
      <c r="C39" t="s">
        <v>74</v>
      </c>
      <c r="D39" t="s">
        <v>75</v>
      </c>
    </row>
    <row r="40" spans="1:4" x14ac:dyDescent="0.25">
      <c r="A40" t="s">
        <v>1089</v>
      </c>
      <c r="B40">
        <v>39</v>
      </c>
      <c r="C40" t="s">
        <v>76</v>
      </c>
      <c r="D40" t="s">
        <v>77</v>
      </c>
    </row>
    <row r="41" spans="1:4" x14ac:dyDescent="0.25">
      <c r="A41" t="s">
        <v>1090</v>
      </c>
      <c r="B41">
        <v>40</v>
      </c>
      <c r="C41" t="s">
        <v>78</v>
      </c>
      <c r="D41" t="s">
        <v>79</v>
      </c>
    </row>
    <row r="42" spans="1:4" x14ac:dyDescent="0.25">
      <c r="A42" t="s">
        <v>1091</v>
      </c>
      <c r="B42">
        <v>41</v>
      </c>
      <c r="C42" t="s">
        <v>80</v>
      </c>
      <c r="D42" t="s">
        <v>81</v>
      </c>
    </row>
    <row r="43" spans="1:4" x14ac:dyDescent="0.25">
      <c r="A43" t="s">
        <v>1092</v>
      </c>
      <c r="B43">
        <v>42</v>
      </c>
      <c r="C43" t="s">
        <v>82</v>
      </c>
      <c r="D43" t="s">
        <v>83</v>
      </c>
    </row>
    <row r="44" spans="1:4" x14ac:dyDescent="0.25">
      <c r="A44" t="s">
        <v>1093</v>
      </c>
      <c r="B44">
        <v>43</v>
      </c>
      <c r="C44" t="s">
        <v>84</v>
      </c>
      <c r="D44" t="s">
        <v>85</v>
      </c>
    </row>
    <row r="45" spans="1:4" x14ac:dyDescent="0.25">
      <c r="A45" t="s">
        <v>1094</v>
      </c>
      <c r="B45">
        <v>44</v>
      </c>
      <c r="C45" t="s">
        <v>86</v>
      </c>
      <c r="D45" t="s">
        <v>87</v>
      </c>
    </row>
    <row r="46" spans="1:4" x14ac:dyDescent="0.25">
      <c r="A46" t="s">
        <v>1095</v>
      </c>
      <c r="B46">
        <v>45</v>
      </c>
      <c r="C46" t="s">
        <v>88</v>
      </c>
      <c r="D46" t="s">
        <v>89</v>
      </c>
    </row>
    <row r="47" spans="1:4" x14ac:dyDescent="0.25">
      <c r="A47" t="s">
        <v>1096</v>
      </c>
      <c r="B47">
        <v>46</v>
      </c>
      <c r="C47" t="s">
        <v>90</v>
      </c>
      <c r="D47" t="s">
        <v>91</v>
      </c>
    </row>
    <row r="48" spans="1:4" x14ac:dyDescent="0.25">
      <c r="A48" t="s">
        <v>1097</v>
      </c>
      <c r="B48">
        <v>47</v>
      </c>
      <c r="C48" t="s">
        <v>92</v>
      </c>
      <c r="D48" t="s">
        <v>93</v>
      </c>
    </row>
    <row r="49" spans="1:4" x14ac:dyDescent="0.25">
      <c r="A49" t="s">
        <v>1098</v>
      </c>
      <c r="B49">
        <v>48</v>
      </c>
      <c r="C49" t="s">
        <v>94</v>
      </c>
      <c r="D49" t="s">
        <v>95</v>
      </c>
    </row>
    <row r="50" spans="1:4" x14ac:dyDescent="0.25">
      <c r="A50" t="s">
        <v>1099</v>
      </c>
      <c r="B50">
        <v>49</v>
      </c>
      <c r="C50" t="s">
        <v>96</v>
      </c>
      <c r="D50" t="s">
        <v>97</v>
      </c>
    </row>
    <row r="51" spans="1:4" x14ac:dyDescent="0.25">
      <c r="A51" t="s">
        <v>1100</v>
      </c>
      <c r="B51">
        <v>50</v>
      </c>
      <c r="C51" t="s">
        <v>98</v>
      </c>
      <c r="D51" t="s">
        <v>99</v>
      </c>
    </row>
    <row r="52" spans="1:4" x14ac:dyDescent="0.25">
      <c r="A52" t="s">
        <v>1101</v>
      </c>
      <c r="B52">
        <v>51</v>
      </c>
      <c r="C52" t="s">
        <v>100</v>
      </c>
      <c r="D52" t="s">
        <v>101</v>
      </c>
    </row>
    <row r="53" spans="1:4" x14ac:dyDescent="0.25">
      <c r="A53" t="s">
        <v>1102</v>
      </c>
      <c r="B53">
        <v>52</v>
      </c>
      <c r="C53" t="s">
        <v>102</v>
      </c>
      <c r="D53" t="s">
        <v>103</v>
      </c>
    </row>
    <row r="54" spans="1:4" x14ac:dyDescent="0.25">
      <c r="A54" t="s">
        <v>1103</v>
      </c>
      <c r="B54">
        <v>53</v>
      </c>
      <c r="C54" t="s">
        <v>104</v>
      </c>
      <c r="D54" t="s">
        <v>105</v>
      </c>
    </row>
    <row r="55" spans="1:4" x14ac:dyDescent="0.25">
      <c r="A55" t="s">
        <v>1104</v>
      </c>
      <c r="B55">
        <v>54</v>
      </c>
      <c r="C55" t="s">
        <v>106</v>
      </c>
      <c r="D55" t="s">
        <v>107</v>
      </c>
    </row>
    <row r="56" spans="1:4" x14ac:dyDescent="0.25">
      <c r="A56" t="s">
        <v>1105</v>
      </c>
      <c r="B56">
        <v>55</v>
      </c>
      <c r="C56" t="s">
        <v>108</v>
      </c>
      <c r="D56" t="s">
        <v>109</v>
      </c>
    </row>
    <row r="57" spans="1:4" x14ac:dyDescent="0.25">
      <c r="A57" t="s">
        <v>1106</v>
      </c>
      <c r="B57">
        <v>56</v>
      </c>
      <c r="C57" t="s">
        <v>110</v>
      </c>
      <c r="D57" t="s">
        <v>111</v>
      </c>
    </row>
    <row r="58" spans="1:4" x14ac:dyDescent="0.25">
      <c r="A58" t="s">
        <v>1107</v>
      </c>
      <c r="B58">
        <v>57</v>
      </c>
      <c r="C58" t="s">
        <v>112</v>
      </c>
      <c r="D58" t="s">
        <v>113</v>
      </c>
    </row>
    <row r="59" spans="1:4" x14ac:dyDescent="0.25">
      <c r="A59" t="s">
        <v>1108</v>
      </c>
      <c r="B59">
        <v>58</v>
      </c>
      <c r="C59" t="s">
        <v>114</v>
      </c>
      <c r="D59" t="s">
        <v>115</v>
      </c>
    </row>
    <row r="60" spans="1:4" x14ac:dyDescent="0.25">
      <c r="A60" t="s">
        <v>1109</v>
      </c>
      <c r="B60">
        <v>59</v>
      </c>
      <c r="C60" t="s">
        <v>116</v>
      </c>
      <c r="D60" t="s">
        <v>117</v>
      </c>
    </row>
    <row r="61" spans="1:4" x14ac:dyDescent="0.25">
      <c r="A61" t="s">
        <v>1110</v>
      </c>
      <c r="B61">
        <v>60</v>
      </c>
      <c r="C61" t="s">
        <v>118</v>
      </c>
      <c r="D61" t="s">
        <v>119</v>
      </c>
    </row>
    <row r="62" spans="1:4" x14ac:dyDescent="0.25">
      <c r="A62" t="s">
        <v>1111</v>
      </c>
      <c r="B62">
        <v>61</v>
      </c>
      <c r="C62" t="s">
        <v>120</v>
      </c>
      <c r="D62" t="s">
        <v>121</v>
      </c>
    </row>
    <row r="63" spans="1:4" x14ac:dyDescent="0.25">
      <c r="A63" t="s">
        <v>1112</v>
      </c>
      <c r="B63">
        <v>62</v>
      </c>
      <c r="C63" t="s">
        <v>122</v>
      </c>
      <c r="D63" t="s">
        <v>123</v>
      </c>
    </row>
    <row r="64" spans="1:4" x14ac:dyDescent="0.25">
      <c r="A64" t="s">
        <v>1113</v>
      </c>
      <c r="B64">
        <v>63</v>
      </c>
      <c r="C64" t="s">
        <v>124</v>
      </c>
      <c r="D64" t="s">
        <v>125</v>
      </c>
    </row>
    <row r="65" spans="1:4" x14ac:dyDescent="0.25">
      <c r="A65" t="s">
        <v>1114</v>
      </c>
      <c r="B65">
        <v>64</v>
      </c>
      <c r="C65" t="s">
        <v>126</v>
      </c>
      <c r="D65" t="s">
        <v>127</v>
      </c>
    </row>
    <row r="66" spans="1:4" x14ac:dyDescent="0.25">
      <c r="A66" t="s">
        <v>1115</v>
      </c>
      <c r="B66">
        <v>65</v>
      </c>
      <c r="C66" t="s">
        <v>128</v>
      </c>
      <c r="D66" t="s">
        <v>129</v>
      </c>
    </row>
    <row r="67" spans="1:4" x14ac:dyDescent="0.25">
      <c r="A67" t="s">
        <v>1116</v>
      </c>
      <c r="B67">
        <v>66</v>
      </c>
      <c r="C67" t="s">
        <v>130</v>
      </c>
      <c r="D67" t="s">
        <v>131</v>
      </c>
    </row>
    <row r="68" spans="1:4" x14ac:dyDescent="0.25">
      <c r="A68" t="s">
        <v>1117</v>
      </c>
      <c r="B68">
        <v>67</v>
      </c>
      <c r="C68" t="s">
        <v>132</v>
      </c>
      <c r="D68" t="s">
        <v>133</v>
      </c>
    </row>
    <row r="69" spans="1:4" x14ac:dyDescent="0.25">
      <c r="A69" t="s">
        <v>1118</v>
      </c>
      <c r="B69">
        <v>68</v>
      </c>
      <c r="C69" t="s">
        <v>134</v>
      </c>
      <c r="D69" t="s">
        <v>135</v>
      </c>
    </row>
    <row r="70" spans="1:4" x14ac:dyDescent="0.25">
      <c r="A70" t="s">
        <v>1119</v>
      </c>
      <c r="B70">
        <v>69</v>
      </c>
      <c r="C70" t="s">
        <v>136</v>
      </c>
      <c r="D70" t="s">
        <v>137</v>
      </c>
    </row>
    <row r="71" spans="1:4" x14ac:dyDescent="0.25">
      <c r="A71" t="s">
        <v>1120</v>
      </c>
      <c r="B71">
        <v>70</v>
      </c>
      <c r="C71" t="s">
        <v>138</v>
      </c>
      <c r="D71" t="s">
        <v>139</v>
      </c>
    </row>
    <row r="72" spans="1:4" x14ac:dyDescent="0.25">
      <c r="A72" t="s">
        <v>1121</v>
      </c>
      <c r="B72">
        <v>71</v>
      </c>
      <c r="C72" t="s">
        <v>140</v>
      </c>
      <c r="D72" t="s">
        <v>141</v>
      </c>
    </row>
    <row r="73" spans="1:4" x14ac:dyDescent="0.25">
      <c r="A73" t="s">
        <v>1122</v>
      </c>
      <c r="B73">
        <v>72</v>
      </c>
      <c r="C73" t="s">
        <v>142</v>
      </c>
      <c r="D73" t="s">
        <v>143</v>
      </c>
    </row>
    <row r="74" spans="1:4" x14ac:dyDescent="0.25">
      <c r="A74" t="s">
        <v>1123</v>
      </c>
      <c r="B74">
        <v>73</v>
      </c>
      <c r="C74" t="s">
        <v>144</v>
      </c>
      <c r="D74" t="s">
        <v>145</v>
      </c>
    </row>
    <row r="75" spans="1:4" x14ac:dyDescent="0.25">
      <c r="A75" t="s">
        <v>1124</v>
      </c>
      <c r="B75">
        <v>74</v>
      </c>
      <c r="C75" t="s">
        <v>146</v>
      </c>
      <c r="D75" t="s">
        <v>147</v>
      </c>
    </row>
    <row r="76" spans="1:4" x14ac:dyDescent="0.25">
      <c r="A76" t="s">
        <v>1125</v>
      </c>
      <c r="B76">
        <v>75</v>
      </c>
      <c r="C76" t="s">
        <v>148</v>
      </c>
      <c r="D76" t="s">
        <v>149</v>
      </c>
    </row>
    <row r="77" spans="1:4" x14ac:dyDescent="0.25">
      <c r="A77" t="s">
        <v>1126</v>
      </c>
      <c r="B77">
        <v>76</v>
      </c>
      <c r="C77" t="s">
        <v>150</v>
      </c>
      <c r="D77" t="s">
        <v>151</v>
      </c>
    </row>
    <row r="78" spans="1:4" x14ac:dyDescent="0.25">
      <c r="A78" t="s">
        <v>1127</v>
      </c>
      <c r="B78">
        <v>77</v>
      </c>
      <c r="C78" t="s">
        <v>152</v>
      </c>
      <c r="D78" t="s">
        <v>153</v>
      </c>
    </row>
    <row r="79" spans="1:4" x14ac:dyDescent="0.25">
      <c r="A79" t="s">
        <v>1128</v>
      </c>
      <c r="B79">
        <v>78</v>
      </c>
      <c r="C79" t="s">
        <v>154</v>
      </c>
      <c r="D79" t="s">
        <v>155</v>
      </c>
    </row>
    <row r="80" spans="1:4" x14ac:dyDescent="0.25">
      <c r="A80" t="s">
        <v>1129</v>
      </c>
      <c r="B80">
        <v>79</v>
      </c>
      <c r="C80" t="s">
        <v>156</v>
      </c>
      <c r="D80" t="s">
        <v>157</v>
      </c>
    </row>
    <row r="81" spans="1:4" x14ac:dyDescent="0.25">
      <c r="A81" t="s">
        <v>1130</v>
      </c>
      <c r="B81">
        <v>80</v>
      </c>
      <c r="C81" t="s">
        <v>158</v>
      </c>
      <c r="D81" t="s">
        <v>159</v>
      </c>
    </row>
    <row r="82" spans="1:4" x14ac:dyDescent="0.25">
      <c r="A82" t="s">
        <v>1131</v>
      </c>
      <c r="B82">
        <v>81</v>
      </c>
      <c r="C82" t="s">
        <v>160</v>
      </c>
      <c r="D82" t="s">
        <v>161</v>
      </c>
    </row>
    <row r="83" spans="1:4" x14ac:dyDescent="0.25">
      <c r="A83" t="s">
        <v>1132</v>
      </c>
      <c r="B83">
        <v>82</v>
      </c>
      <c r="C83" t="s">
        <v>162</v>
      </c>
      <c r="D83" t="s">
        <v>163</v>
      </c>
    </row>
    <row r="84" spans="1:4" x14ac:dyDescent="0.25">
      <c r="A84" t="s">
        <v>631</v>
      </c>
      <c r="B84">
        <v>83</v>
      </c>
      <c r="C84" t="s">
        <v>164</v>
      </c>
      <c r="D84" t="s">
        <v>165</v>
      </c>
    </row>
    <row r="85" spans="1:4" x14ac:dyDescent="0.25">
      <c r="A85" t="s">
        <v>671</v>
      </c>
      <c r="B85">
        <v>84</v>
      </c>
      <c r="C85" t="s">
        <v>166</v>
      </c>
      <c r="D85" t="s">
        <v>167</v>
      </c>
    </row>
    <row r="86" spans="1:4" x14ac:dyDescent="0.25">
      <c r="A86" t="s">
        <v>1133</v>
      </c>
      <c r="B86">
        <v>85</v>
      </c>
      <c r="C86" t="s">
        <v>168</v>
      </c>
      <c r="D86" t="s">
        <v>169</v>
      </c>
    </row>
    <row r="87" spans="1:4" x14ac:dyDescent="0.25">
      <c r="A87" t="s">
        <v>1134</v>
      </c>
      <c r="B87">
        <v>86</v>
      </c>
      <c r="C87" t="s">
        <v>170</v>
      </c>
      <c r="D87" t="s">
        <v>171</v>
      </c>
    </row>
    <row r="88" spans="1:4" x14ac:dyDescent="0.25">
      <c r="A88" t="s">
        <v>740</v>
      </c>
      <c r="B88">
        <v>87</v>
      </c>
      <c r="C88" t="s">
        <v>172</v>
      </c>
      <c r="D88" t="s">
        <v>173</v>
      </c>
    </row>
    <row r="89" spans="1:4" x14ac:dyDescent="0.25">
      <c r="A89" t="s">
        <v>1135</v>
      </c>
      <c r="B89">
        <v>88</v>
      </c>
      <c r="C89" t="s">
        <v>174</v>
      </c>
      <c r="D89" t="s">
        <v>175</v>
      </c>
    </row>
    <row r="90" spans="1:4" x14ac:dyDescent="0.25">
      <c r="A90" t="s">
        <v>895</v>
      </c>
      <c r="B90">
        <v>89</v>
      </c>
      <c r="C90" t="s">
        <v>176</v>
      </c>
      <c r="D90" t="s">
        <v>177</v>
      </c>
    </row>
    <row r="91" spans="1:4" x14ac:dyDescent="0.25">
      <c r="A91" t="s">
        <v>1136</v>
      </c>
      <c r="B91">
        <v>90</v>
      </c>
      <c r="C91" t="s">
        <v>178</v>
      </c>
      <c r="D91" t="s">
        <v>179</v>
      </c>
    </row>
    <row r="92" spans="1:4" x14ac:dyDescent="0.25">
      <c r="A92" t="s">
        <v>1137</v>
      </c>
      <c r="B92">
        <v>91</v>
      </c>
      <c r="C92" t="s">
        <v>180</v>
      </c>
      <c r="D92" t="s">
        <v>181</v>
      </c>
    </row>
    <row r="93" spans="1:4" x14ac:dyDescent="0.25">
      <c r="A93" t="s">
        <v>1138</v>
      </c>
      <c r="B93">
        <v>92</v>
      </c>
      <c r="C93" t="s">
        <v>182</v>
      </c>
      <c r="D93" t="s">
        <v>183</v>
      </c>
    </row>
    <row r="94" spans="1:4" x14ac:dyDescent="0.25">
      <c r="A94" t="s">
        <v>1139</v>
      </c>
      <c r="B94">
        <v>93</v>
      </c>
      <c r="C94" t="s">
        <v>184</v>
      </c>
      <c r="D94" t="s">
        <v>185</v>
      </c>
    </row>
    <row r="95" spans="1:4" x14ac:dyDescent="0.25">
      <c r="A95" t="s">
        <v>1140</v>
      </c>
      <c r="B95">
        <v>94</v>
      </c>
      <c r="C95" t="s">
        <v>186</v>
      </c>
      <c r="D95" t="s">
        <v>187</v>
      </c>
    </row>
    <row r="96" spans="1:4" x14ac:dyDescent="0.25">
      <c r="A96" t="s">
        <v>1141</v>
      </c>
      <c r="B96">
        <v>95</v>
      </c>
      <c r="C96" t="s">
        <v>188</v>
      </c>
      <c r="D96" t="s">
        <v>189</v>
      </c>
    </row>
    <row r="97" spans="1:4" x14ac:dyDescent="0.25">
      <c r="A97" t="s">
        <v>1142</v>
      </c>
      <c r="B97">
        <v>96</v>
      </c>
      <c r="C97" t="s">
        <v>190</v>
      </c>
      <c r="D97" t="s">
        <v>191</v>
      </c>
    </row>
    <row r="98" spans="1:4" x14ac:dyDescent="0.25">
      <c r="A98" t="s">
        <v>1143</v>
      </c>
      <c r="B98">
        <v>97</v>
      </c>
      <c r="C98" t="s">
        <v>192</v>
      </c>
      <c r="D98" t="s">
        <v>193</v>
      </c>
    </row>
    <row r="99" spans="1:4" x14ac:dyDescent="0.25">
      <c r="A99" t="s">
        <v>1144</v>
      </c>
      <c r="B99">
        <v>98</v>
      </c>
      <c r="C99" t="s">
        <v>194</v>
      </c>
      <c r="D99" t="s">
        <v>195</v>
      </c>
    </row>
    <row r="100" spans="1:4" x14ac:dyDescent="0.25">
      <c r="A100" t="s">
        <v>1145</v>
      </c>
      <c r="B100">
        <v>99</v>
      </c>
      <c r="C100" t="s">
        <v>196</v>
      </c>
      <c r="D100" t="s">
        <v>197</v>
      </c>
    </row>
    <row r="101" spans="1:4" x14ac:dyDescent="0.25">
      <c r="A101" t="s">
        <v>1146</v>
      </c>
      <c r="B101">
        <v>100</v>
      </c>
      <c r="C101" t="s">
        <v>198</v>
      </c>
      <c r="D101" t="s">
        <v>199</v>
      </c>
    </row>
    <row r="102" spans="1:4" x14ac:dyDescent="0.25">
      <c r="A102" t="s">
        <v>1147</v>
      </c>
      <c r="B102">
        <v>101</v>
      </c>
      <c r="C102" t="s">
        <v>200</v>
      </c>
      <c r="D102" t="s">
        <v>201</v>
      </c>
    </row>
    <row r="103" spans="1:4" x14ac:dyDescent="0.25">
      <c r="A103" t="s">
        <v>1148</v>
      </c>
      <c r="B103">
        <v>102</v>
      </c>
      <c r="C103" t="s">
        <v>202</v>
      </c>
      <c r="D103" t="s">
        <v>203</v>
      </c>
    </row>
    <row r="104" spans="1:4" x14ac:dyDescent="0.25">
      <c r="A104" t="s">
        <v>1149</v>
      </c>
      <c r="B104">
        <v>103</v>
      </c>
      <c r="C104" t="s">
        <v>204</v>
      </c>
      <c r="D104" t="s">
        <v>205</v>
      </c>
    </row>
    <row r="105" spans="1:4" x14ac:dyDescent="0.25">
      <c r="A105" t="s">
        <v>1150</v>
      </c>
      <c r="B105">
        <v>104</v>
      </c>
      <c r="C105" t="s">
        <v>206</v>
      </c>
      <c r="D105" t="s">
        <v>207</v>
      </c>
    </row>
    <row r="106" spans="1:4" x14ac:dyDescent="0.25">
      <c r="A106" t="s">
        <v>1151</v>
      </c>
      <c r="B106">
        <v>105</v>
      </c>
      <c r="C106" t="s">
        <v>208</v>
      </c>
      <c r="D106" t="s">
        <v>209</v>
      </c>
    </row>
    <row r="107" spans="1:4" x14ac:dyDescent="0.25">
      <c r="A107" t="s">
        <v>1152</v>
      </c>
      <c r="B107">
        <v>106</v>
      </c>
      <c r="C107" t="s">
        <v>210</v>
      </c>
      <c r="D107" t="s">
        <v>211</v>
      </c>
    </row>
    <row r="108" spans="1:4" x14ac:dyDescent="0.25">
      <c r="A108" t="s">
        <v>1153</v>
      </c>
      <c r="B108">
        <v>107</v>
      </c>
      <c r="C108" t="s">
        <v>212</v>
      </c>
      <c r="D108" t="s">
        <v>213</v>
      </c>
    </row>
    <row r="109" spans="1:4" x14ac:dyDescent="0.25">
      <c r="A109" t="s">
        <v>1154</v>
      </c>
      <c r="B109">
        <v>108</v>
      </c>
      <c r="C109" t="s">
        <v>214</v>
      </c>
      <c r="D109" t="s">
        <v>215</v>
      </c>
    </row>
    <row r="110" spans="1:4" x14ac:dyDescent="0.25">
      <c r="A110" t="s">
        <v>1155</v>
      </c>
      <c r="B110">
        <v>109</v>
      </c>
      <c r="C110" t="s">
        <v>216</v>
      </c>
      <c r="D110" t="s">
        <v>217</v>
      </c>
    </row>
    <row r="111" spans="1:4" x14ac:dyDescent="0.25">
      <c r="A111" t="s">
        <v>1156</v>
      </c>
      <c r="B111">
        <v>110</v>
      </c>
      <c r="C111" t="s">
        <v>218</v>
      </c>
      <c r="D111" t="s">
        <v>219</v>
      </c>
    </row>
    <row r="112" spans="1:4" x14ac:dyDescent="0.25">
      <c r="A112" t="s">
        <v>1157</v>
      </c>
      <c r="B112">
        <v>111</v>
      </c>
      <c r="C112" t="s">
        <v>220</v>
      </c>
      <c r="D112" t="s">
        <v>221</v>
      </c>
    </row>
    <row r="113" spans="1:4" x14ac:dyDescent="0.25">
      <c r="A113" t="s">
        <v>1158</v>
      </c>
      <c r="B113">
        <v>112</v>
      </c>
      <c r="C113" t="s">
        <v>222</v>
      </c>
      <c r="D113" t="s">
        <v>223</v>
      </c>
    </row>
    <row r="114" spans="1:4" x14ac:dyDescent="0.25">
      <c r="A114" t="s">
        <v>1159</v>
      </c>
      <c r="B114">
        <v>113</v>
      </c>
      <c r="C114" t="s">
        <v>224</v>
      </c>
      <c r="D114" t="s">
        <v>225</v>
      </c>
    </row>
    <row r="115" spans="1:4" x14ac:dyDescent="0.25">
      <c r="A115" t="s">
        <v>991</v>
      </c>
      <c r="B115">
        <v>114</v>
      </c>
      <c r="C115" t="s">
        <v>226</v>
      </c>
      <c r="D115" t="s">
        <v>227</v>
      </c>
    </row>
    <row r="116" spans="1:4" x14ac:dyDescent="0.25">
      <c r="A116" t="s">
        <v>1160</v>
      </c>
      <c r="B116">
        <v>115</v>
      </c>
      <c r="C116" t="s">
        <v>228</v>
      </c>
      <c r="D116" t="s">
        <v>229</v>
      </c>
    </row>
    <row r="117" spans="1:4" x14ac:dyDescent="0.25">
      <c r="A117" t="s">
        <v>1161</v>
      </c>
      <c r="B117">
        <v>116</v>
      </c>
      <c r="C117" t="s">
        <v>230</v>
      </c>
      <c r="D117" t="s">
        <v>231</v>
      </c>
    </row>
    <row r="118" spans="1:4" x14ac:dyDescent="0.25">
      <c r="A118" t="s">
        <v>1162</v>
      </c>
      <c r="B118">
        <v>117</v>
      </c>
      <c r="C118" t="s">
        <v>232</v>
      </c>
      <c r="D118" t="s">
        <v>233</v>
      </c>
    </row>
    <row r="119" spans="1:4" x14ac:dyDescent="0.25">
      <c r="A119" t="s">
        <v>1163</v>
      </c>
      <c r="B119">
        <v>118</v>
      </c>
      <c r="C119" t="s">
        <v>234</v>
      </c>
      <c r="D119" t="s">
        <v>235</v>
      </c>
    </row>
    <row r="120" spans="1:4" x14ac:dyDescent="0.25">
      <c r="A120" t="s">
        <v>1164</v>
      </c>
      <c r="B120">
        <v>119</v>
      </c>
      <c r="C120" t="s">
        <v>236</v>
      </c>
      <c r="D120" t="s">
        <v>237</v>
      </c>
    </row>
    <row r="121" spans="1:4" x14ac:dyDescent="0.25">
      <c r="A121" t="s">
        <v>1165</v>
      </c>
      <c r="B121">
        <v>120</v>
      </c>
      <c r="C121" t="s">
        <v>238</v>
      </c>
      <c r="D121" t="s">
        <v>239</v>
      </c>
    </row>
    <row r="122" spans="1:4" x14ac:dyDescent="0.25">
      <c r="A122" t="s">
        <v>1166</v>
      </c>
      <c r="B122">
        <v>121</v>
      </c>
      <c r="C122" t="s">
        <v>240</v>
      </c>
      <c r="D122" t="s">
        <v>241</v>
      </c>
    </row>
    <row r="123" spans="1:4" x14ac:dyDescent="0.25">
      <c r="A123" t="s">
        <v>1167</v>
      </c>
      <c r="B123">
        <v>122</v>
      </c>
      <c r="C123" t="s">
        <v>242</v>
      </c>
      <c r="D123" t="s">
        <v>243</v>
      </c>
    </row>
    <row r="124" spans="1:4" x14ac:dyDescent="0.25">
      <c r="A124" t="s">
        <v>1168</v>
      </c>
      <c r="B124">
        <v>123</v>
      </c>
      <c r="C124" t="s">
        <v>244</v>
      </c>
      <c r="D124" t="s">
        <v>245</v>
      </c>
    </row>
    <row r="125" spans="1:4" x14ac:dyDescent="0.25">
      <c r="A125" t="s">
        <v>1169</v>
      </c>
      <c r="B125">
        <v>124</v>
      </c>
      <c r="C125" t="s">
        <v>246</v>
      </c>
      <c r="D125" t="s">
        <v>247</v>
      </c>
    </row>
    <row r="126" spans="1:4" x14ac:dyDescent="0.25">
      <c r="A126" t="s">
        <v>1170</v>
      </c>
      <c r="B126">
        <v>125</v>
      </c>
      <c r="C126" t="s">
        <v>248</v>
      </c>
      <c r="D126" t="s">
        <v>249</v>
      </c>
    </row>
    <row r="127" spans="1:4" x14ac:dyDescent="0.25">
      <c r="A127" t="s">
        <v>1171</v>
      </c>
      <c r="B127">
        <v>126</v>
      </c>
      <c r="C127" t="s">
        <v>250</v>
      </c>
      <c r="D127" t="s">
        <v>251</v>
      </c>
    </row>
    <row r="128" spans="1:4" x14ac:dyDescent="0.25">
      <c r="A128" t="s">
        <v>1172</v>
      </c>
      <c r="B128">
        <v>127</v>
      </c>
      <c r="C128" t="s">
        <v>252</v>
      </c>
      <c r="D128" t="s">
        <v>253</v>
      </c>
    </row>
    <row r="129" spans="1:4" x14ac:dyDescent="0.25">
      <c r="A129" t="s">
        <v>1173</v>
      </c>
      <c r="B129">
        <v>128</v>
      </c>
      <c r="C129" t="s">
        <v>254</v>
      </c>
      <c r="D129" t="s">
        <v>255</v>
      </c>
    </row>
    <row r="130" spans="1:4" x14ac:dyDescent="0.25">
      <c r="A130" t="s">
        <v>1174</v>
      </c>
      <c r="B130">
        <v>129</v>
      </c>
      <c r="C130" t="s">
        <v>256</v>
      </c>
      <c r="D130" t="s">
        <v>257</v>
      </c>
    </row>
    <row r="131" spans="1:4" x14ac:dyDescent="0.25">
      <c r="A131" t="s">
        <v>1175</v>
      </c>
      <c r="B131">
        <v>130</v>
      </c>
      <c r="C131" t="s">
        <v>258</v>
      </c>
      <c r="D131" t="s">
        <v>259</v>
      </c>
    </row>
    <row r="132" spans="1:4" x14ac:dyDescent="0.25">
      <c r="A132" t="s">
        <v>1176</v>
      </c>
      <c r="B132">
        <v>131</v>
      </c>
      <c r="C132" t="s">
        <v>260</v>
      </c>
      <c r="D132" t="s">
        <v>261</v>
      </c>
    </row>
    <row r="133" spans="1:4" x14ac:dyDescent="0.25">
      <c r="A133" t="s">
        <v>1177</v>
      </c>
      <c r="B133">
        <v>132</v>
      </c>
      <c r="C133" t="s">
        <v>262</v>
      </c>
      <c r="D133" t="s">
        <v>263</v>
      </c>
    </row>
    <row r="134" spans="1:4" x14ac:dyDescent="0.25">
      <c r="A134" t="s">
        <v>1178</v>
      </c>
      <c r="B134">
        <v>133</v>
      </c>
      <c r="C134" t="s">
        <v>264</v>
      </c>
      <c r="D134" t="s">
        <v>265</v>
      </c>
    </row>
    <row r="135" spans="1:4" x14ac:dyDescent="0.25">
      <c r="A135" t="s">
        <v>1179</v>
      </c>
      <c r="B135">
        <v>134</v>
      </c>
      <c r="C135" t="s">
        <v>266</v>
      </c>
      <c r="D135" t="s">
        <v>267</v>
      </c>
    </row>
    <row r="136" spans="1:4" x14ac:dyDescent="0.25">
      <c r="A136" t="s">
        <v>1180</v>
      </c>
      <c r="B136">
        <v>135</v>
      </c>
      <c r="C136" t="s">
        <v>268</v>
      </c>
      <c r="D136" t="s">
        <v>269</v>
      </c>
    </row>
    <row r="137" spans="1:4" x14ac:dyDescent="0.25">
      <c r="A137" t="s">
        <v>1181</v>
      </c>
      <c r="B137">
        <v>136</v>
      </c>
      <c r="C137" t="s">
        <v>270</v>
      </c>
      <c r="D137" t="s">
        <v>271</v>
      </c>
    </row>
    <row r="138" spans="1:4" x14ac:dyDescent="0.25">
      <c r="A138" t="s">
        <v>1182</v>
      </c>
      <c r="B138">
        <v>137</v>
      </c>
      <c r="C138" t="s">
        <v>272</v>
      </c>
      <c r="D138" t="s">
        <v>273</v>
      </c>
    </row>
    <row r="139" spans="1:4" x14ac:dyDescent="0.25">
      <c r="A139" t="s">
        <v>1183</v>
      </c>
      <c r="B139">
        <v>138</v>
      </c>
      <c r="C139" t="s">
        <v>274</v>
      </c>
      <c r="D139" t="s">
        <v>275</v>
      </c>
    </row>
    <row r="140" spans="1:4" x14ac:dyDescent="0.25">
      <c r="A140" t="s">
        <v>1184</v>
      </c>
      <c r="B140">
        <v>139</v>
      </c>
      <c r="C140" t="s">
        <v>276</v>
      </c>
      <c r="D140" t="s">
        <v>277</v>
      </c>
    </row>
    <row r="141" spans="1:4" x14ac:dyDescent="0.25">
      <c r="A141" t="s">
        <v>1185</v>
      </c>
      <c r="B141">
        <v>140</v>
      </c>
      <c r="C141" t="s">
        <v>278</v>
      </c>
      <c r="D141" t="s">
        <v>279</v>
      </c>
    </row>
    <row r="142" spans="1:4" x14ac:dyDescent="0.25">
      <c r="A142" t="s">
        <v>1186</v>
      </c>
      <c r="B142">
        <v>141</v>
      </c>
      <c r="C142" t="s">
        <v>280</v>
      </c>
      <c r="D142" t="s">
        <v>281</v>
      </c>
    </row>
    <row r="143" spans="1:4" x14ac:dyDescent="0.25">
      <c r="A143" t="s">
        <v>1187</v>
      </c>
      <c r="B143">
        <v>142</v>
      </c>
      <c r="C143" t="s">
        <v>282</v>
      </c>
      <c r="D143" t="s">
        <v>283</v>
      </c>
    </row>
    <row r="144" spans="1:4" x14ac:dyDescent="0.25">
      <c r="A144" t="s">
        <v>1188</v>
      </c>
      <c r="B144">
        <v>143</v>
      </c>
      <c r="C144" t="s">
        <v>284</v>
      </c>
      <c r="D144" t="s">
        <v>285</v>
      </c>
    </row>
    <row r="145" spans="1:4" x14ac:dyDescent="0.25">
      <c r="A145" t="s">
        <v>1189</v>
      </c>
      <c r="B145">
        <v>144</v>
      </c>
      <c r="C145" t="s">
        <v>286</v>
      </c>
      <c r="D145" t="s">
        <v>287</v>
      </c>
    </row>
    <row r="146" spans="1:4" x14ac:dyDescent="0.25">
      <c r="A146" t="s">
        <v>1190</v>
      </c>
      <c r="B146">
        <v>145</v>
      </c>
      <c r="C146" t="s">
        <v>288</v>
      </c>
      <c r="D146" t="s">
        <v>289</v>
      </c>
    </row>
    <row r="147" spans="1:4" x14ac:dyDescent="0.25">
      <c r="A147" t="s">
        <v>1191</v>
      </c>
      <c r="B147">
        <v>146</v>
      </c>
      <c r="C147" t="s">
        <v>290</v>
      </c>
      <c r="D147" t="s">
        <v>291</v>
      </c>
    </row>
    <row r="148" spans="1:4" x14ac:dyDescent="0.25">
      <c r="A148" t="s">
        <v>1192</v>
      </c>
      <c r="B148">
        <v>147</v>
      </c>
      <c r="C148" t="s">
        <v>292</v>
      </c>
      <c r="D148" t="s">
        <v>293</v>
      </c>
    </row>
    <row r="149" spans="1:4" x14ac:dyDescent="0.25">
      <c r="A149" t="s">
        <v>1193</v>
      </c>
      <c r="B149">
        <v>148</v>
      </c>
      <c r="C149" t="s">
        <v>294</v>
      </c>
      <c r="D149" t="s">
        <v>295</v>
      </c>
    </row>
    <row r="150" spans="1:4" x14ac:dyDescent="0.25">
      <c r="A150" t="s">
        <v>1194</v>
      </c>
      <c r="B150">
        <v>149</v>
      </c>
      <c r="C150" t="s">
        <v>296</v>
      </c>
      <c r="D150" t="s">
        <v>297</v>
      </c>
    </row>
    <row r="151" spans="1:4" x14ac:dyDescent="0.25">
      <c r="A151" t="s">
        <v>1195</v>
      </c>
      <c r="B151">
        <v>150</v>
      </c>
      <c r="C151" t="s">
        <v>298</v>
      </c>
      <c r="D151" t="s">
        <v>299</v>
      </c>
    </row>
    <row r="152" spans="1:4" x14ac:dyDescent="0.25">
      <c r="A152" t="s">
        <v>1196</v>
      </c>
      <c r="B152">
        <v>151</v>
      </c>
      <c r="C152" t="s">
        <v>300</v>
      </c>
      <c r="D152" t="s">
        <v>301</v>
      </c>
    </row>
    <row r="153" spans="1:4" x14ac:dyDescent="0.25">
      <c r="A153" t="s">
        <v>1197</v>
      </c>
      <c r="B153">
        <v>152</v>
      </c>
      <c r="C153" t="s">
        <v>302</v>
      </c>
      <c r="D153" t="s">
        <v>303</v>
      </c>
    </row>
    <row r="154" spans="1:4" x14ac:dyDescent="0.25">
      <c r="A154" t="s">
        <v>1198</v>
      </c>
      <c r="B154">
        <v>153</v>
      </c>
      <c r="C154" t="s">
        <v>304</v>
      </c>
      <c r="D154" t="s">
        <v>305</v>
      </c>
    </row>
    <row r="155" spans="1:4" x14ac:dyDescent="0.25">
      <c r="A155" t="s">
        <v>1199</v>
      </c>
      <c r="B155">
        <v>154</v>
      </c>
      <c r="C155" t="s">
        <v>306</v>
      </c>
      <c r="D155" t="s">
        <v>307</v>
      </c>
    </row>
    <row r="156" spans="1:4" x14ac:dyDescent="0.25">
      <c r="A156" t="s">
        <v>1200</v>
      </c>
      <c r="B156">
        <v>155</v>
      </c>
      <c r="C156" t="s">
        <v>308</v>
      </c>
      <c r="D156" t="s">
        <v>309</v>
      </c>
    </row>
    <row r="157" spans="1:4" x14ac:dyDescent="0.25">
      <c r="A157" t="s">
        <v>1201</v>
      </c>
      <c r="B157">
        <v>156</v>
      </c>
      <c r="C157" t="s">
        <v>310</v>
      </c>
      <c r="D157" t="s">
        <v>311</v>
      </c>
    </row>
    <row r="158" spans="1:4" x14ac:dyDescent="0.25">
      <c r="A158" t="s">
        <v>1202</v>
      </c>
      <c r="B158">
        <v>157</v>
      </c>
      <c r="C158" t="s">
        <v>312</v>
      </c>
      <c r="D158" t="s">
        <v>313</v>
      </c>
    </row>
    <row r="159" spans="1:4" x14ac:dyDescent="0.25">
      <c r="A159" t="s">
        <v>1203</v>
      </c>
      <c r="B159">
        <v>158</v>
      </c>
      <c r="C159" t="s">
        <v>314</v>
      </c>
      <c r="D159" t="s">
        <v>315</v>
      </c>
    </row>
    <row r="160" spans="1:4" x14ac:dyDescent="0.25">
      <c r="A160" t="s">
        <v>1204</v>
      </c>
      <c r="B160">
        <v>159</v>
      </c>
      <c r="C160" t="s">
        <v>316</v>
      </c>
      <c r="D160" t="s">
        <v>317</v>
      </c>
    </row>
    <row r="161" spans="1:4" x14ac:dyDescent="0.25">
      <c r="A161" t="s">
        <v>1205</v>
      </c>
      <c r="B161">
        <v>160</v>
      </c>
      <c r="C161" t="s">
        <v>318</v>
      </c>
      <c r="D161" t="s">
        <v>319</v>
      </c>
    </row>
    <row r="162" spans="1:4" x14ac:dyDescent="0.25">
      <c r="A162" t="s">
        <v>1206</v>
      </c>
      <c r="B162">
        <v>161</v>
      </c>
      <c r="C162" t="s">
        <v>320</v>
      </c>
      <c r="D162" t="s">
        <v>321</v>
      </c>
    </row>
    <row r="163" spans="1:4" x14ac:dyDescent="0.25">
      <c r="A163" t="s">
        <v>1207</v>
      </c>
      <c r="B163">
        <v>162</v>
      </c>
      <c r="C163" t="s">
        <v>322</v>
      </c>
      <c r="D163" t="s">
        <v>323</v>
      </c>
    </row>
    <row r="164" spans="1:4" x14ac:dyDescent="0.25">
      <c r="A164" t="s">
        <v>1208</v>
      </c>
      <c r="B164">
        <v>163</v>
      </c>
      <c r="C164" t="s">
        <v>324</v>
      </c>
      <c r="D164" t="s">
        <v>325</v>
      </c>
    </row>
    <row r="165" spans="1:4" x14ac:dyDescent="0.25">
      <c r="A165" t="s">
        <v>1209</v>
      </c>
      <c r="B165">
        <v>164</v>
      </c>
      <c r="C165" t="s">
        <v>326</v>
      </c>
      <c r="D165" t="s">
        <v>327</v>
      </c>
    </row>
    <row r="166" spans="1:4" x14ac:dyDescent="0.25">
      <c r="A166" t="s">
        <v>1210</v>
      </c>
      <c r="B166">
        <v>165</v>
      </c>
      <c r="C166" t="s">
        <v>328</v>
      </c>
      <c r="D166" t="s">
        <v>329</v>
      </c>
    </row>
    <row r="167" spans="1:4" x14ac:dyDescent="0.25">
      <c r="A167" t="s">
        <v>1211</v>
      </c>
      <c r="B167">
        <v>166</v>
      </c>
      <c r="C167" t="s">
        <v>330</v>
      </c>
      <c r="D167" t="s">
        <v>331</v>
      </c>
    </row>
    <row r="168" spans="1:4" x14ac:dyDescent="0.25">
      <c r="A168" t="s">
        <v>1212</v>
      </c>
      <c r="B168">
        <v>167</v>
      </c>
      <c r="C168" t="s">
        <v>332</v>
      </c>
      <c r="D168" t="s">
        <v>333</v>
      </c>
    </row>
    <row r="169" spans="1:4" x14ac:dyDescent="0.25">
      <c r="A169" t="s">
        <v>1213</v>
      </c>
      <c r="B169">
        <v>168</v>
      </c>
      <c r="C169" t="s">
        <v>334</v>
      </c>
      <c r="D169" t="s">
        <v>335</v>
      </c>
    </row>
    <row r="170" spans="1:4" x14ac:dyDescent="0.25">
      <c r="A170" t="s">
        <v>1214</v>
      </c>
      <c r="B170">
        <v>169</v>
      </c>
      <c r="C170" t="s">
        <v>336</v>
      </c>
      <c r="D170" t="s">
        <v>337</v>
      </c>
    </row>
    <row r="171" spans="1:4" x14ac:dyDescent="0.25">
      <c r="A171" t="s">
        <v>1215</v>
      </c>
      <c r="B171">
        <v>170</v>
      </c>
      <c r="C171" t="s">
        <v>338</v>
      </c>
      <c r="D171" t="s">
        <v>339</v>
      </c>
    </row>
    <row r="172" spans="1:4" x14ac:dyDescent="0.25">
      <c r="A172" t="s">
        <v>1216</v>
      </c>
      <c r="B172">
        <v>171</v>
      </c>
      <c r="C172" t="s">
        <v>340</v>
      </c>
      <c r="D172" t="s">
        <v>341</v>
      </c>
    </row>
    <row r="173" spans="1:4" x14ac:dyDescent="0.25">
      <c r="A173" t="s">
        <v>1217</v>
      </c>
      <c r="B173">
        <v>172</v>
      </c>
      <c r="C173" t="s">
        <v>342</v>
      </c>
      <c r="D173" t="s">
        <v>343</v>
      </c>
    </row>
    <row r="174" spans="1:4" x14ac:dyDescent="0.25">
      <c r="A174" t="s">
        <v>1218</v>
      </c>
      <c r="B174">
        <v>173</v>
      </c>
      <c r="C174" t="s">
        <v>344</v>
      </c>
      <c r="D174" t="s">
        <v>345</v>
      </c>
    </row>
    <row r="175" spans="1:4" x14ac:dyDescent="0.25">
      <c r="A175" t="s">
        <v>1219</v>
      </c>
      <c r="B175">
        <v>174</v>
      </c>
      <c r="C175" t="s">
        <v>346</v>
      </c>
      <c r="D175" t="s">
        <v>347</v>
      </c>
    </row>
    <row r="176" spans="1:4" x14ac:dyDescent="0.25">
      <c r="A176" t="s">
        <v>1220</v>
      </c>
      <c r="B176">
        <v>175</v>
      </c>
      <c r="C176" t="s">
        <v>348</v>
      </c>
      <c r="D176" t="s">
        <v>349</v>
      </c>
    </row>
    <row r="177" spans="1:4" x14ac:dyDescent="0.25">
      <c r="A177" t="s">
        <v>1221</v>
      </c>
      <c r="B177">
        <v>176</v>
      </c>
      <c r="C177" t="s">
        <v>350</v>
      </c>
      <c r="D177" t="s">
        <v>351</v>
      </c>
    </row>
    <row r="178" spans="1:4" x14ac:dyDescent="0.25">
      <c r="A178" t="s">
        <v>1222</v>
      </c>
      <c r="B178">
        <v>177</v>
      </c>
      <c r="C178" t="s">
        <v>352</v>
      </c>
      <c r="D178" t="s">
        <v>353</v>
      </c>
    </row>
    <row r="179" spans="1:4" x14ac:dyDescent="0.25">
      <c r="A179" t="s">
        <v>1223</v>
      </c>
      <c r="B179">
        <v>178</v>
      </c>
      <c r="C179" t="s">
        <v>354</v>
      </c>
      <c r="D179" t="s">
        <v>355</v>
      </c>
    </row>
    <row r="180" spans="1:4" x14ac:dyDescent="0.25">
      <c r="A180" t="s">
        <v>1224</v>
      </c>
      <c r="B180">
        <v>179</v>
      </c>
      <c r="C180" t="s">
        <v>356</v>
      </c>
      <c r="D180" t="s">
        <v>357</v>
      </c>
    </row>
    <row r="181" spans="1:4" x14ac:dyDescent="0.25">
      <c r="A181" t="s">
        <v>1225</v>
      </c>
      <c r="B181">
        <v>180</v>
      </c>
      <c r="C181" t="s">
        <v>358</v>
      </c>
      <c r="D181" t="s">
        <v>359</v>
      </c>
    </row>
    <row r="182" spans="1:4" x14ac:dyDescent="0.25">
      <c r="A182" t="s">
        <v>1226</v>
      </c>
      <c r="B182">
        <v>181</v>
      </c>
      <c r="C182" t="s">
        <v>360</v>
      </c>
      <c r="D182" t="s">
        <v>361</v>
      </c>
    </row>
    <row r="183" spans="1:4" x14ac:dyDescent="0.25">
      <c r="A183" t="s">
        <v>1227</v>
      </c>
      <c r="B183">
        <v>182</v>
      </c>
      <c r="C183" t="s">
        <v>362</v>
      </c>
      <c r="D183" t="s">
        <v>363</v>
      </c>
    </row>
    <row r="184" spans="1:4" x14ac:dyDescent="0.25">
      <c r="A184" t="s">
        <v>1228</v>
      </c>
      <c r="B184">
        <v>183</v>
      </c>
      <c r="C184" t="s">
        <v>364</v>
      </c>
      <c r="D184" t="s">
        <v>365</v>
      </c>
    </row>
    <row r="185" spans="1:4" x14ac:dyDescent="0.25">
      <c r="A185" t="s">
        <v>1229</v>
      </c>
      <c r="B185">
        <v>184</v>
      </c>
      <c r="C185" t="s">
        <v>366</v>
      </c>
      <c r="D185" t="s">
        <v>367</v>
      </c>
    </row>
    <row r="186" spans="1:4" x14ac:dyDescent="0.25">
      <c r="A186" t="s">
        <v>1230</v>
      </c>
      <c r="B186">
        <v>185</v>
      </c>
      <c r="C186" t="s">
        <v>368</v>
      </c>
      <c r="D186" t="s">
        <v>369</v>
      </c>
    </row>
    <row r="187" spans="1:4" x14ac:dyDescent="0.25">
      <c r="A187" t="s">
        <v>1231</v>
      </c>
      <c r="B187">
        <v>186</v>
      </c>
      <c r="C187" t="s">
        <v>370</v>
      </c>
      <c r="D187" t="s">
        <v>371</v>
      </c>
    </row>
    <row r="188" spans="1:4" x14ac:dyDescent="0.25">
      <c r="A188" t="s">
        <v>1232</v>
      </c>
      <c r="B188">
        <v>187</v>
      </c>
      <c r="C188" t="s">
        <v>372</v>
      </c>
      <c r="D188" t="s">
        <v>373</v>
      </c>
    </row>
    <row r="189" spans="1:4" x14ac:dyDescent="0.25">
      <c r="A189" t="s">
        <v>1233</v>
      </c>
      <c r="B189">
        <v>188</v>
      </c>
      <c r="C189" t="s">
        <v>374</v>
      </c>
      <c r="D189" t="s">
        <v>375</v>
      </c>
    </row>
    <row r="190" spans="1:4" x14ac:dyDescent="0.25">
      <c r="A190" t="s">
        <v>1234</v>
      </c>
      <c r="B190">
        <v>189</v>
      </c>
      <c r="C190" t="s">
        <v>376</v>
      </c>
      <c r="D190" t="s">
        <v>377</v>
      </c>
    </row>
    <row r="191" spans="1:4" x14ac:dyDescent="0.25">
      <c r="A191" t="s">
        <v>1235</v>
      </c>
      <c r="B191">
        <v>190</v>
      </c>
      <c r="C191" t="s">
        <v>378</v>
      </c>
      <c r="D191" t="s">
        <v>379</v>
      </c>
    </row>
    <row r="192" spans="1:4" x14ac:dyDescent="0.25">
      <c r="A192" t="s">
        <v>1236</v>
      </c>
      <c r="B192">
        <v>191</v>
      </c>
      <c r="C192" t="s">
        <v>380</v>
      </c>
      <c r="D192" t="s">
        <v>381</v>
      </c>
    </row>
    <row r="193" spans="1:4" x14ac:dyDescent="0.25">
      <c r="A193" t="s">
        <v>1237</v>
      </c>
      <c r="B193">
        <v>192</v>
      </c>
      <c r="C193" t="s">
        <v>382</v>
      </c>
      <c r="D193" t="s">
        <v>383</v>
      </c>
    </row>
    <row r="194" spans="1:4" x14ac:dyDescent="0.25">
      <c r="A194" t="s">
        <v>1238</v>
      </c>
      <c r="B194">
        <v>193</v>
      </c>
      <c r="C194" t="s">
        <v>384</v>
      </c>
      <c r="D194" t="s">
        <v>385</v>
      </c>
    </row>
    <row r="195" spans="1:4" x14ac:dyDescent="0.25">
      <c r="A195" t="s">
        <v>1239</v>
      </c>
      <c r="B195">
        <v>194</v>
      </c>
      <c r="C195" t="s">
        <v>386</v>
      </c>
      <c r="D195" t="s">
        <v>387</v>
      </c>
    </row>
    <row r="196" spans="1:4" x14ac:dyDescent="0.25">
      <c r="A196" t="s">
        <v>1240</v>
      </c>
      <c r="B196">
        <v>195</v>
      </c>
      <c r="C196" t="s">
        <v>388</v>
      </c>
      <c r="D196" t="s">
        <v>389</v>
      </c>
    </row>
    <row r="197" spans="1:4" x14ac:dyDescent="0.25">
      <c r="A197" t="s">
        <v>1241</v>
      </c>
      <c r="B197">
        <v>196</v>
      </c>
      <c r="C197" t="s">
        <v>390</v>
      </c>
      <c r="D197" t="s">
        <v>391</v>
      </c>
    </row>
    <row r="198" spans="1:4" x14ac:dyDescent="0.25">
      <c r="A198" t="s">
        <v>1242</v>
      </c>
      <c r="B198">
        <v>197</v>
      </c>
      <c r="C198" t="s">
        <v>392</v>
      </c>
      <c r="D198" t="s">
        <v>393</v>
      </c>
    </row>
    <row r="199" spans="1:4" x14ac:dyDescent="0.25">
      <c r="A199" t="s">
        <v>1243</v>
      </c>
      <c r="B199">
        <v>198</v>
      </c>
      <c r="C199" t="s">
        <v>394</v>
      </c>
      <c r="D199" t="s">
        <v>395</v>
      </c>
    </row>
    <row r="200" spans="1:4" x14ac:dyDescent="0.25">
      <c r="A200" t="s">
        <v>1244</v>
      </c>
      <c r="B200">
        <v>199</v>
      </c>
      <c r="C200" t="s">
        <v>396</v>
      </c>
      <c r="D200" t="s">
        <v>397</v>
      </c>
    </row>
    <row r="201" spans="1:4" x14ac:dyDescent="0.25">
      <c r="A201" t="s">
        <v>1245</v>
      </c>
      <c r="B201">
        <v>200</v>
      </c>
      <c r="C201" t="s">
        <v>398</v>
      </c>
      <c r="D201" t="s">
        <v>399</v>
      </c>
    </row>
    <row r="202" spans="1:4" x14ac:dyDescent="0.25">
      <c r="A202" t="s">
        <v>1246</v>
      </c>
      <c r="B202">
        <v>201</v>
      </c>
      <c r="C202" t="s">
        <v>400</v>
      </c>
      <c r="D202" t="s">
        <v>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3"/>
  <sheetViews>
    <sheetView topLeftCell="A338" workbookViewId="0">
      <selection sqref="A1:F363"/>
    </sheetView>
  </sheetViews>
  <sheetFormatPr defaultRowHeight="15" x14ac:dyDescent="0.25"/>
  <cols>
    <col min="3" max="3" width="14.140625" customWidth="1"/>
    <col min="4" max="4" width="14.5703125" customWidth="1"/>
  </cols>
  <sheetData>
    <row r="1" spans="1:6" x14ac:dyDescent="0.25">
      <c r="A1" t="s">
        <v>405</v>
      </c>
      <c r="B1" t="s">
        <v>402</v>
      </c>
      <c r="C1" t="s">
        <v>406</v>
      </c>
      <c r="D1" t="s">
        <v>407</v>
      </c>
      <c r="E1" t="s">
        <v>408</v>
      </c>
      <c r="F1" t="s">
        <v>1247</v>
      </c>
    </row>
    <row r="2" spans="1:6" x14ac:dyDescent="0.25">
      <c r="A2" t="s">
        <v>409</v>
      </c>
      <c r="B2" t="s">
        <v>410</v>
      </c>
      <c r="C2" t="s">
        <v>411</v>
      </c>
      <c r="D2" t="s">
        <v>412</v>
      </c>
      <c r="F2">
        <f>VLOOKUP(A2,Country_WorkingSheet!$A$1:$D$202,2,FALSE)</f>
        <v>7</v>
      </c>
    </row>
    <row r="3" spans="1:6" x14ac:dyDescent="0.25">
      <c r="A3" t="s">
        <v>409</v>
      </c>
      <c r="B3" t="s">
        <v>413</v>
      </c>
      <c r="C3" t="s">
        <v>414</v>
      </c>
      <c r="D3" t="s">
        <v>412</v>
      </c>
      <c r="F3">
        <f>VLOOKUP(A3,Country_WorkingSheet!$A$1:$D$202,2,FALSE)</f>
        <v>7</v>
      </c>
    </row>
    <row r="4" spans="1:6" x14ac:dyDescent="0.25">
      <c r="A4" t="s">
        <v>409</v>
      </c>
      <c r="B4" t="s">
        <v>415</v>
      </c>
      <c r="C4" t="s">
        <v>416</v>
      </c>
      <c r="D4" t="s">
        <v>412</v>
      </c>
      <c r="F4">
        <f>VLOOKUP(A4,Country_WorkingSheet!$A$1:$D$202,2,FALSE)</f>
        <v>7</v>
      </c>
    </row>
    <row r="5" spans="1:6" x14ac:dyDescent="0.25">
      <c r="A5" t="s">
        <v>409</v>
      </c>
      <c r="B5" t="s">
        <v>417</v>
      </c>
      <c r="C5" t="s">
        <v>418</v>
      </c>
      <c r="D5" t="s">
        <v>412</v>
      </c>
      <c r="F5">
        <f>VLOOKUP(A5,Country_WorkingSheet!$A$1:$D$202,2,FALSE)</f>
        <v>7</v>
      </c>
    </row>
    <row r="6" spans="1:6" x14ac:dyDescent="0.25">
      <c r="A6" t="s">
        <v>409</v>
      </c>
      <c r="B6" t="s">
        <v>419</v>
      </c>
      <c r="C6" t="s">
        <v>420</v>
      </c>
      <c r="D6" t="s">
        <v>412</v>
      </c>
      <c r="F6">
        <f>VLOOKUP(A6,Country_WorkingSheet!$A$1:$D$202,2,FALSE)</f>
        <v>7</v>
      </c>
    </row>
    <row r="7" spans="1:6" x14ac:dyDescent="0.25">
      <c r="A7" t="s">
        <v>409</v>
      </c>
      <c r="B7" t="s">
        <v>421</v>
      </c>
      <c r="C7" t="s">
        <v>422</v>
      </c>
      <c r="D7" t="s">
        <v>412</v>
      </c>
      <c r="F7">
        <f>VLOOKUP(A7,Country_WorkingSheet!$A$1:$D$202,2,FALSE)</f>
        <v>7</v>
      </c>
    </row>
    <row r="8" spans="1:6" x14ac:dyDescent="0.25">
      <c r="A8" t="s">
        <v>409</v>
      </c>
      <c r="B8" t="s">
        <v>423</v>
      </c>
      <c r="C8" t="s">
        <v>424</v>
      </c>
      <c r="D8" t="s">
        <v>412</v>
      </c>
      <c r="F8">
        <f>VLOOKUP(A8,Country_WorkingSheet!$A$1:$D$202,2,FALSE)</f>
        <v>7</v>
      </c>
    </row>
    <row r="9" spans="1:6" x14ac:dyDescent="0.25">
      <c r="A9" t="s">
        <v>409</v>
      </c>
      <c r="B9" t="s">
        <v>425</v>
      </c>
      <c r="C9" t="s">
        <v>426</v>
      </c>
      <c r="D9" t="s">
        <v>412</v>
      </c>
      <c r="F9">
        <f>VLOOKUP(A9,Country_WorkingSheet!$A$1:$D$202,2,FALSE)</f>
        <v>7</v>
      </c>
    </row>
    <row r="10" spans="1:6" x14ac:dyDescent="0.25">
      <c r="A10" t="s">
        <v>409</v>
      </c>
      <c r="B10" t="s">
        <v>427</v>
      </c>
      <c r="C10" t="s">
        <v>428</v>
      </c>
      <c r="D10" t="s">
        <v>412</v>
      </c>
      <c r="F10">
        <f>VLOOKUP(A10,Country_WorkingSheet!$A$1:$D$202,2,FALSE)</f>
        <v>7</v>
      </c>
    </row>
    <row r="11" spans="1:6" x14ac:dyDescent="0.25">
      <c r="A11" t="s">
        <v>409</v>
      </c>
      <c r="B11" t="s">
        <v>429</v>
      </c>
      <c r="C11" t="s">
        <v>430</v>
      </c>
      <c r="D11" t="s">
        <v>412</v>
      </c>
      <c r="F11">
        <f>VLOOKUP(A11,Country_WorkingSheet!$A$1:$D$202,2,FALSE)</f>
        <v>7</v>
      </c>
    </row>
    <row r="12" spans="1:6" x14ac:dyDescent="0.25">
      <c r="A12" t="s">
        <v>409</v>
      </c>
      <c r="B12" t="s">
        <v>431</v>
      </c>
      <c r="C12" t="s">
        <v>432</v>
      </c>
      <c r="D12" t="s">
        <v>412</v>
      </c>
      <c r="F12">
        <f>VLOOKUP(A12,Country_WorkingSheet!$A$1:$D$202,2,FALSE)</f>
        <v>7</v>
      </c>
    </row>
    <row r="13" spans="1:6" x14ac:dyDescent="0.25">
      <c r="A13" t="s">
        <v>409</v>
      </c>
      <c r="B13" t="s">
        <v>433</v>
      </c>
      <c r="C13" t="s">
        <v>434</v>
      </c>
      <c r="D13" t="s">
        <v>412</v>
      </c>
      <c r="F13">
        <f>VLOOKUP(A13,Country_WorkingSheet!$A$1:$D$202,2,FALSE)</f>
        <v>7</v>
      </c>
    </row>
    <row r="14" spans="1:6" x14ac:dyDescent="0.25">
      <c r="A14" t="s">
        <v>409</v>
      </c>
      <c r="B14" t="s">
        <v>435</v>
      </c>
      <c r="C14" t="s">
        <v>436</v>
      </c>
      <c r="D14" t="s">
        <v>412</v>
      </c>
      <c r="F14">
        <f>VLOOKUP(A14,Country_WorkingSheet!$A$1:$D$202,2,FALSE)</f>
        <v>7</v>
      </c>
    </row>
    <row r="15" spans="1:6" x14ac:dyDescent="0.25">
      <c r="A15" t="s">
        <v>409</v>
      </c>
      <c r="B15" t="s">
        <v>437</v>
      </c>
      <c r="C15" t="s">
        <v>438</v>
      </c>
      <c r="D15" t="s">
        <v>412</v>
      </c>
      <c r="F15">
        <f>VLOOKUP(A15,Country_WorkingSheet!$A$1:$D$202,2,FALSE)</f>
        <v>7</v>
      </c>
    </row>
    <row r="16" spans="1:6" x14ac:dyDescent="0.25">
      <c r="A16" t="s">
        <v>409</v>
      </c>
      <c r="B16" t="s">
        <v>439</v>
      </c>
      <c r="C16" t="s">
        <v>440</v>
      </c>
      <c r="D16" t="s">
        <v>412</v>
      </c>
      <c r="F16">
        <f>VLOOKUP(A16,Country_WorkingSheet!$A$1:$D$202,2,FALSE)</f>
        <v>7</v>
      </c>
    </row>
    <row r="17" spans="1:6" x14ac:dyDescent="0.25">
      <c r="A17" t="s">
        <v>409</v>
      </c>
      <c r="B17" t="s">
        <v>441</v>
      </c>
      <c r="C17" t="s">
        <v>442</v>
      </c>
      <c r="D17" t="s">
        <v>412</v>
      </c>
      <c r="F17">
        <f>VLOOKUP(A17,Country_WorkingSheet!$A$1:$D$202,2,FALSE)</f>
        <v>7</v>
      </c>
    </row>
    <row r="18" spans="1:6" x14ac:dyDescent="0.25">
      <c r="A18" t="s">
        <v>409</v>
      </c>
      <c r="B18" t="s">
        <v>443</v>
      </c>
      <c r="C18" t="s">
        <v>444</v>
      </c>
      <c r="D18" t="s">
        <v>412</v>
      </c>
      <c r="F18">
        <f>VLOOKUP(A18,Country_WorkingSheet!$A$1:$D$202,2,FALSE)</f>
        <v>7</v>
      </c>
    </row>
    <row r="19" spans="1:6" x14ac:dyDescent="0.25">
      <c r="A19" t="s">
        <v>409</v>
      </c>
      <c r="B19" t="s">
        <v>445</v>
      </c>
      <c r="C19" t="s">
        <v>446</v>
      </c>
      <c r="D19" t="s">
        <v>412</v>
      </c>
      <c r="F19">
        <f>VLOOKUP(A19,Country_WorkingSheet!$A$1:$D$202,2,FALSE)</f>
        <v>7</v>
      </c>
    </row>
    <row r="20" spans="1:6" x14ac:dyDescent="0.25">
      <c r="A20" t="s">
        <v>409</v>
      </c>
      <c r="B20" t="s">
        <v>447</v>
      </c>
      <c r="C20" t="s">
        <v>448</v>
      </c>
      <c r="D20" t="s">
        <v>412</v>
      </c>
      <c r="F20">
        <f>VLOOKUP(A20,Country_WorkingSheet!$A$1:$D$202,2,FALSE)</f>
        <v>7</v>
      </c>
    </row>
    <row r="21" spans="1:6" x14ac:dyDescent="0.25">
      <c r="A21" t="s">
        <v>409</v>
      </c>
      <c r="B21" t="s">
        <v>449</v>
      </c>
      <c r="C21" t="s">
        <v>450</v>
      </c>
      <c r="D21" t="s">
        <v>412</v>
      </c>
      <c r="F21">
        <f>VLOOKUP(A21,Country_WorkingSheet!$A$1:$D$202,2,FALSE)</f>
        <v>7</v>
      </c>
    </row>
    <row r="22" spans="1:6" x14ac:dyDescent="0.25">
      <c r="A22" t="s">
        <v>409</v>
      </c>
      <c r="B22" t="s">
        <v>451</v>
      </c>
      <c r="C22" t="s">
        <v>452</v>
      </c>
      <c r="D22" t="s">
        <v>412</v>
      </c>
      <c r="F22">
        <f>VLOOKUP(A22,Country_WorkingSheet!$A$1:$D$202,2,FALSE)</f>
        <v>7</v>
      </c>
    </row>
    <row r="23" spans="1:6" x14ac:dyDescent="0.25">
      <c r="A23" t="s">
        <v>409</v>
      </c>
      <c r="B23" t="s">
        <v>453</v>
      </c>
      <c r="C23" t="s">
        <v>454</v>
      </c>
      <c r="D23" t="s">
        <v>412</v>
      </c>
      <c r="F23">
        <f>VLOOKUP(A23,Country_WorkingSheet!$A$1:$D$202,2,FALSE)</f>
        <v>7</v>
      </c>
    </row>
    <row r="24" spans="1:6" x14ac:dyDescent="0.25">
      <c r="A24" t="s">
        <v>409</v>
      </c>
      <c r="B24" t="s">
        <v>455</v>
      </c>
      <c r="C24" t="s">
        <v>456</v>
      </c>
      <c r="D24" t="s">
        <v>412</v>
      </c>
      <c r="F24">
        <f>VLOOKUP(A24,Country_WorkingSheet!$A$1:$D$202,2,FALSE)</f>
        <v>7</v>
      </c>
    </row>
    <row r="25" spans="1:6" x14ac:dyDescent="0.25">
      <c r="A25" t="s">
        <v>409</v>
      </c>
      <c r="B25" t="s">
        <v>457</v>
      </c>
      <c r="C25" t="s">
        <v>458</v>
      </c>
      <c r="D25" t="s">
        <v>412</v>
      </c>
      <c r="F25">
        <f>VLOOKUP(A25,Country_WorkingSheet!$A$1:$D$202,2,FALSE)</f>
        <v>7</v>
      </c>
    </row>
    <row r="26" spans="1:6" x14ac:dyDescent="0.25">
      <c r="A26" t="s">
        <v>459</v>
      </c>
      <c r="B26" t="s">
        <v>460</v>
      </c>
      <c r="C26" t="s">
        <v>461</v>
      </c>
      <c r="D26" t="s">
        <v>462</v>
      </c>
      <c r="F26">
        <f>VLOOKUP(A26,Country_WorkingSheet!$A$1:$D$202,2,FALSE)</f>
        <v>25</v>
      </c>
    </row>
    <row r="27" spans="1:6" x14ac:dyDescent="0.25">
      <c r="A27" t="s">
        <v>459</v>
      </c>
      <c r="B27" t="s">
        <v>463</v>
      </c>
      <c r="C27" t="s">
        <v>1</v>
      </c>
      <c r="D27" t="s">
        <v>462</v>
      </c>
      <c r="F27">
        <f>VLOOKUP(A27,Country_WorkingSheet!$A$1:$D$202,2,FALSE)</f>
        <v>25</v>
      </c>
    </row>
    <row r="28" spans="1:6" x14ac:dyDescent="0.25">
      <c r="A28" t="s">
        <v>459</v>
      </c>
      <c r="B28" t="s">
        <v>464</v>
      </c>
      <c r="C28" t="s">
        <v>465</v>
      </c>
      <c r="D28" t="s">
        <v>462</v>
      </c>
      <c r="F28">
        <f>VLOOKUP(A28,Country_WorkingSheet!$A$1:$D$202,2,FALSE)</f>
        <v>25</v>
      </c>
    </row>
    <row r="29" spans="1:6" x14ac:dyDescent="0.25">
      <c r="A29" t="s">
        <v>459</v>
      </c>
      <c r="B29" t="s">
        <v>466</v>
      </c>
      <c r="C29" t="s">
        <v>15</v>
      </c>
      <c r="D29" t="s">
        <v>462</v>
      </c>
      <c r="F29">
        <f>VLOOKUP(A29,Country_WorkingSheet!$A$1:$D$202,2,FALSE)</f>
        <v>25</v>
      </c>
    </row>
    <row r="30" spans="1:6" x14ac:dyDescent="0.25">
      <c r="A30" t="s">
        <v>459</v>
      </c>
      <c r="B30" t="s">
        <v>467</v>
      </c>
      <c r="C30" t="s">
        <v>45</v>
      </c>
      <c r="D30" t="s">
        <v>462</v>
      </c>
      <c r="F30">
        <f>VLOOKUP(A30,Country_WorkingSheet!$A$1:$D$202,2,FALSE)</f>
        <v>25</v>
      </c>
    </row>
    <row r="31" spans="1:6" x14ac:dyDescent="0.25">
      <c r="A31" t="s">
        <v>459</v>
      </c>
      <c r="B31" t="s">
        <v>468</v>
      </c>
      <c r="C31" t="s">
        <v>469</v>
      </c>
      <c r="D31" t="s">
        <v>462</v>
      </c>
      <c r="F31">
        <f>VLOOKUP(A31,Country_WorkingSheet!$A$1:$D$202,2,FALSE)</f>
        <v>25</v>
      </c>
    </row>
    <row r="32" spans="1:6" x14ac:dyDescent="0.25">
      <c r="A32" t="s">
        <v>459</v>
      </c>
      <c r="B32" t="s">
        <v>470</v>
      </c>
      <c r="C32" t="s">
        <v>471</v>
      </c>
      <c r="D32" t="s">
        <v>462</v>
      </c>
      <c r="F32">
        <f>VLOOKUP(A32,Country_WorkingSheet!$A$1:$D$202,2,FALSE)</f>
        <v>25</v>
      </c>
    </row>
    <row r="33" spans="1:6" x14ac:dyDescent="0.25">
      <c r="A33" t="s">
        <v>459</v>
      </c>
      <c r="B33" t="s">
        <v>472</v>
      </c>
      <c r="C33" t="s">
        <v>329</v>
      </c>
      <c r="D33" t="s">
        <v>462</v>
      </c>
      <c r="F33">
        <f>VLOOKUP(A33,Country_WorkingSheet!$A$1:$D$202,2,FALSE)</f>
        <v>25</v>
      </c>
    </row>
    <row r="34" spans="1:6" x14ac:dyDescent="0.25">
      <c r="A34" t="s">
        <v>459</v>
      </c>
      <c r="B34" t="s">
        <v>473</v>
      </c>
      <c r="C34" t="s">
        <v>474</v>
      </c>
      <c r="D34" t="s">
        <v>462</v>
      </c>
      <c r="F34">
        <f>VLOOKUP(A34,Country_WorkingSheet!$A$1:$D$202,2,FALSE)</f>
        <v>25</v>
      </c>
    </row>
    <row r="35" spans="1:6" x14ac:dyDescent="0.25">
      <c r="A35" t="s">
        <v>459</v>
      </c>
      <c r="B35" t="s">
        <v>475</v>
      </c>
      <c r="C35" t="s">
        <v>241</v>
      </c>
      <c r="D35" t="s">
        <v>462</v>
      </c>
      <c r="F35">
        <f>VLOOKUP(A35,Country_WorkingSheet!$A$1:$D$202,2,FALSE)</f>
        <v>25</v>
      </c>
    </row>
    <row r="36" spans="1:6" x14ac:dyDescent="0.25">
      <c r="A36" t="s">
        <v>459</v>
      </c>
      <c r="B36" t="s">
        <v>476</v>
      </c>
      <c r="C36" t="s">
        <v>215</v>
      </c>
      <c r="D36" t="s">
        <v>462</v>
      </c>
      <c r="F36">
        <f>VLOOKUP(A36,Country_WorkingSheet!$A$1:$D$202,2,FALSE)</f>
        <v>25</v>
      </c>
    </row>
    <row r="37" spans="1:6" x14ac:dyDescent="0.25">
      <c r="A37" t="s">
        <v>459</v>
      </c>
      <c r="B37" t="s">
        <v>477</v>
      </c>
      <c r="C37" t="s">
        <v>239</v>
      </c>
      <c r="D37" t="s">
        <v>462</v>
      </c>
      <c r="F37">
        <f>VLOOKUP(A37,Country_WorkingSheet!$A$1:$D$202,2,FALSE)</f>
        <v>25</v>
      </c>
    </row>
    <row r="38" spans="1:6" x14ac:dyDescent="0.25">
      <c r="A38" t="s">
        <v>459</v>
      </c>
      <c r="B38" t="s">
        <v>478</v>
      </c>
      <c r="C38" t="s">
        <v>205</v>
      </c>
      <c r="D38" t="s">
        <v>462</v>
      </c>
      <c r="F38">
        <f>VLOOKUP(A38,Country_WorkingSheet!$A$1:$D$202,2,FALSE)</f>
        <v>25</v>
      </c>
    </row>
    <row r="39" spans="1:6" x14ac:dyDescent="0.25">
      <c r="A39" t="s">
        <v>459</v>
      </c>
      <c r="B39" t="s">
        <v>479</v>
      </c>
      <c r="C39" t="s">
        <v>480</v>
      </c>
      <c r="D39" t="s">
        <v>462</v>
      </c>
      <c r="F39">
        <f>VLOOKUP(A39,Country_WorkingSheet!$A$1:$D$202,2,FALSE)</f>
        <v>25</v>
      </c>
    </row>
    <row r="40" spans="1:6" x14ac:dyDescent="0.25">
      <c r="A40" t="s">
        <v>459</v>
      </c>
      <c r="B40" t="s">
        <v>481</v>
      </c>
      <c r="C40" t="s">
        <v>482</v>
      </c>
      <c r="D40" t="s">
        <v>462</v>
      </c>
      <c r="F40">
        <f>VLOOKUP(A40,Country_WorkingSheet!$A$1:$D$202,2,FALSE)</f>
        <v>25</v>
      </c>
    </row>
    <row r="41" spans="1:6" x14ac:dyDescent="0.25">
      <c r="A41" t="s">
        <v>459</v>
      </c>
      <c r="B41" t="s">
        <v>483</v>
      </c>
      <c r="C41" t="s">
        <v>273</v>
      </c>
      <c r="D41" t="s">
        <v>462</v>
      </c>
      <c r="F41">
        <f>VLOOKUP(A41,Country_WorkingSheet!$A$1:$D$202,2,FALSE)</f>
        <v>25</v>
      </c>
    </row>
    <row r="42" spans="1:6" x14ac:dyDescent="0.25">
      <c r="A42" t="s">
        <v>459</v>
      </c>
      <c r="B42" t="s">
        <v>484</v>
      </c>
      <c r="C42" t="s">
        <v>279</v>
      </c>
      <c r="D42" t="s">
        <v>462</v>
      </c>
      <c r="F42">
        <f>VLOOKUP(A42,Country_WorkingSheet!$A$1:$D$202,2,FALSE)</f>
        <v>25</v>
      </c>
    </row>
    <row r="43" spans="1:6" x14ac:dyDescent="0.25">
      <c r="A43" t="s">
        <v>459</v>
      </c>
      <c r="B43" t="s">
        <v>485</v>
      </c>
      <c r="C43" t="s">
        <v>486</v>
      </c>
      <c r="D43" t="s">
        <v>462</v>
      </c>
      <c r="F43">
        <f>VLOOKUP(A43,Country_WorkingSheet!$A$1:$D$202,2,FALSE)</f>
        <v>25</v>
      </c>
    </row>
    <row r="44" spans="1:6" x14ac:dyDescent="0.25">
      <c r="A44" t="s">
        <v>459</v>
      </c>
      <c r="B44" t="s">
        <v>487</v>
      </c>
      <c r="C44" t="s">
        <v>488</v>
      </c>
      <c r="D44" t="s">
        <v>462</v>
      </c>
      <c r="F44">
        <f>VLOOKUP(A44,Country_WorkingSheet!$A$1:$D$202,2,FALSE)</f>
        <v>25</v>
      </c>
    </row>
    <row r="45" spans="1:6" x14ac:dyDescent="0.25">
      <c r="A45" t="s">
        <v>459</v>
      </c>
      <c r="B45" t="s">
        <v>489</v>
      </c>
      <c r="C45" t="s">
        <v>309</v>
      </c>
      <c r="D45" t="s">
        <v>462</v>
      </c>
      <c r="F45">
        <f>VLOOKUP(A45,Country_WorkingSheet!$A$1:$D$202,2,FALSE)</f>
        <v>25</v>
      </c>
    </row>
    <row r="46" spans="1:6" x14ac:dyDescent="0.25">
      <c r="A46" t="s">
        <v>459</v>
      </c>
      <c r="B46" t="s">
        <v>490</v>
      </c>
      <c r="C46" t="s">
        <v>491</v>
      </c>
      <c r="D46" t="s">
        <v>462</v>
      </c>
      <c r="F46">
        <f>VLOOKUP(A46,Country_WorkingSheet!$A$1:$D$202,2,FALSE)</f>
        <v>25</v>
      </c>
    </row>
    <row r="47" spans="1:6" x14ac:dyDescent="0.25">
      <c r="A47" t="s">
        <v>459</v>
      </c>
      <c r="B47" t="s">
        <v>492</v>
      </c>
      <c r="C47" t="s">
        <v>293</v>
      </c>
      <c r="D47" t="s">
        <v>462</v>
      </c>
      <c r="F47">
        <f>VLOOKUP(A47,Country_WorkingSheet!$A$1:$D$202,2,FALSE)</f>
        <v>25</v>
      </c>
    </row>
    <row r="48" spans="1:6" x14ac:dyDescent="0.25">
      <c r="A48" t="s">
        <v>459</v>
      </c>
      <c r="B48" t="s">
        <v>493</v>
      </c>
      <c r="C48" t="s">
        <v>494</v>
      </c>
      <c r="D48" t="s">
        <v>462</v>
      </c>
      <c r="F48">
        <f>VLOOKUP(A48,Country_WorkingSheet!$A$1:$D$202,2,FALSE)</f>
        <v>25</v>
      </c>
    </row>
    <row r="49" spans="1:6" x14ac:dyDescent="0.25">
      <c r="A49" t="s">
        <v>459</v>
      </c>
      <c r="B49" t="s">
        <v>495</v>
      </c>
      <c r="C49" t="s">
        <v>311</v>
      </c>
      <c r="D49" t="s">
        <v>462</v>
      </c>
      <c r="F49">
        <f>VLOOKUP(A49,Country_WorkingSheet!$A$1:$D$202,2,FALSE)</f>
        <v>25</v>
      </c>
    </row>
    <row r="50" spans="1:6" x14ac:dyDescent="0.25">
      <c r="A50" t="s">
        <v>459</v>
      </c>
      <c r="B50" t="s">
        <v>496</v>
      </c>
      <c r="C50" t="s">
        <v>349</v>
      </c>
      <c r="D50" t="s">
        <v>462</v>
      </c>
      <c r="F50">
        <f>VLOOKUP(A50,Country_WorkingSheet!$A$1:$D$202,2,FALSE)</f>
        <v>25</v>
      </c>
    </row>
    <row r="51" spans="1:6" x14ac:dyDescent="0.25">
      <c r="A51" t="s">
        <v>459</v>
      </c>
      <c r="B51" t="s">
        <v>497</v>
      </c>
      <c r="C51" t="s">
        <v>498</v>
      </c>
      <c r="D51" t="s">
        <v>462</v>
      </c>
      <c r="F51">
        <f>VLOOKUP(A51,Country_WorkingSheet!$A$1:$D$202,2,FALSE)</f>
        <v>25</v>
      </c>
    </row>
    <row r="52" spans="1:6" x14ac:dyDescent="0.25">
      <c r="A52" t="s">
        <v>459</v>
      </c>
      <c r="B52" t="s">
        <v>499</v>
      </c>
      <c r="C52" t="s">
        <v>363</v>
      </c>
      <c r="D52" t="s">
        <v>462</v>
      </c>
      <c r="F52">
        <f>VLOOKUP(A52,Country_WorkingSheet!$A$1:$D$202,2,FALSE)</f>
        <v>25</v>
      </c>
    </row>
    <row r="53" spans="1:6" x14ac:dyDescent="0.25">
      <c r="A53" t="s">
        <v>500</v>
      </c>
      <c r="B53" t="s">
        <v>501</v>
      </c>
      <c r="C53" t="s">
        <v>502</v>
      </c>
      <c r="D53" t="s">
        <v>412</v>
      </c>
      <c r="F53">
        <f>VLOOKUP(A53,Country_WorkingSheet!$A$1:$D$202,2,FALSE)</f>
        <v>33</v>
      </c>
    </row>
    <row r="54" spans="1:6" x14ac:dyDescent="0.25">
      <c r="A54" t="s">
        <v>500</v>
      </c>
      <c r="B54" t="s">
        <v>503</v>
      </c>
      <c r="C54" t="s">
        <v>504</v>
      </c>
      <c r="D54" t="s">
        <v>412</v>
      </c>
      <c r="F54">
        <f>VLOOKUP(A54,Country_WorkingSheet!$A$1:$D$202,2,FALSE)</f>
        <v>33</v>
      </c>
    </row>
    <row r="55" spans="1:6" x14ac:dyDescent="0.25">
      <c r="A55" t="s">
        <v>500</v>
      </c>
      <c r="B55" t="s">
        <v>505</v>
      </c>
      <c r="C55" t="s">
        <v>506</v>
      </c>
      <c r="D55" t="s">
        <v>412</v>
      </c>
      <c r="F55">
        <f>VLOOKUP(A55,Country_WorkingSheet!$A$1:$D$202,2,FALSE)</f>
        <v>33</v>
      </c>
    </row>
    <row r="56" spans="1:6" x14ac:dyDescent="0.25">
      <c r="A56" t="s">
        <v>500</v>
      </c>
      <c r="B56" t="s">
        <v>507</v>
      </c>
      <c r="C56" t="s">
        <v>508</v>
      </c>
      <c r="D56" t="s">
        <v>412</v>
      </c>
      <c r="F56">
        <f>VLOOKUP(A56,Country_WorkingSheet!$A$1:$D$202,2,FALSE)</f>
        <v>33</v>
      </c>
    </row>
    <row r="57" spans="1:6" x14ac:dyDescent="0.25">
      <c r="A57" t="s">
        <v>500</v>
      </c>
      <c r="B57" t="s">
        <v>509</v>
      </c>
      <c r="C57" t="s">
        <v>251</v>
      </c>
      <c r="D57" t="s">
        <v>412</v>
      </c>
      <c r="F57">
        <f>VLOOKUP(A57,Country_WorkingSheet!$A$1:$D$202,2,FALSE)</f>
        <v>33</v>
      </c>
    </row>
    <row r="58" spans="1:6" x14ac:dyDescent="0.25">
      <c r="A58" t="s">
        <v>500</v>
      </c>
      <c r="B58" t="s">
        <v>510</v>
      </c>
      <c r="C58" t="s">
        <v>511</v>
      </c>
      <c r="D58" t="s">
        <v>412</v>
      </c>
      <c r="F58">
        <f>VLOOKUP(A58,Country_WorkingSheet!$A$1:$D$202,2,FALSE)</f>
        <v>33</v>
      </c>
    </row>
    <row r="59" spans="1:6" x14ac:dyDescent="0.25">
      <c r="A59" t="s">
        <v>500</v>
      </c>
      <c r="B59" t="s">
        <v>512</v>
      </c>
      <c r="C59" t="s">
        <v>513</v>
      </c>
      <c r="D59" t="s">
        <v>412</v>
      </c>
      <c r="F59">
        <f>VLOOKUP(A59,Country_WorkingSheet!$A$1:$D$202,2,FALSE)</f>
        <v>33</v>
      </c>
    </row>
    <row r="60" spans="1:6" x14ac:dyDescent="0.25">
      <c r="A60" t="s">
        <v>500</v>
      </c>
      <c r="B60" t="s">
        <v>514</v>
      </c>
      <c r="C60" t="s">
        <v>263</v>
      </c>
      <c r="D60" t="s">
        <v>412</v>
      </c>
      <c r="F60">
        <f>VLOOKUP(A60,Country_WorkingSheet!$A$1:$D$202,2,FALSE)</f>
        <v>33</v>
      </c>
    </row>
    <row r="61" spans="1:6" x14ac:dyDescent="0.25">
      <c r="A61" t="s">
        <v>500</v>
      </c>
      <c r="B61" t="s">
        <v>515</v>
      </c>
      <c r="C61" t="s">
        <v>516</v>
      </c>
      <c r="D61" t="s">
        <v>412</v>
      </c>
      <c r="F61">
        <f>VLOOKUP(A61,Country_WorkingSheet!$A$1:$D$202,2,FALSE)</f>
        <v>33</v>
      </c>
    </row>
    <row r="62" spans="1:6" x14ac:dyDescent="0.25">
      <c r="A62" t="s">
        <v>500</v>
      </c>
      <c r="B62" t="s">
        <v>517</v>
      </c>
      <c r="C62" t="s">
        <v>279</v>
      </c>
      <c r="D62" t="s">
        <v>412</v>
      </c>
      <c r="F62">
        <f>VLOOKUP(A62,Country_WorkingSheet!$A$1:$D$202,2,FALSE)</f>
        <v>33</v>
      </c>
    </row>
    <row r="63" spans="1:6" x14ac:dyDescent="0.25">
      <c r="A63" t="s">
        <v>500</v>
      </c>
      <c r="B63" t="s">
        <v>518</v>
      </c>
      <c r="C63" t="s">
        <v>519</v>
      </c>
      <c r="D63" t="s">
        <v>412</v>
      </c>
      <c r="F63">
        <f>VLOOKUP(A63,Country_WorkingSheet!$A$1:$D$202,2,FALSE)</f>
        <v>33</v>
      </c>
    </row>
    <row r="64" spans="1:6" x14ac:dyDescent="0.25">
      <c r="A64" t="s">
        <v>500</v>
      </c>
      <c r="B64" t="s">
        <v>520</v>
      </c>
      <c r="C64" t="s">
        <v>317</v>
      </c>
      <c r="D64" t="s">
        <v>412</v>
      </c>
      <c r="F64">
        <f>VLOOKUP(A64,Country_WorkingSheet!$A$1:$D$202,2,FALSE)</f>
        <v>33</v>
      </c>
    </row>
    <row r="65" spans="1:6" x14ac:dyDescent="0.25">
      <c r="A65" t="s">
        <v>500</v>
      </c>
      <c r="B65" t="s">
        <v>521</v>
      </c>
      <c r="C65" t="s">
        <v>225</v>
      </c>
      <c r="D65" t="s">
        <v>412</v>
      </c>
      <c r="F65">
        <f>VLOOKUP(A65,Country_WorkingSheet!$A$1:$D$202,2,FALSE)</f>
        <v>33</v>
      </c>
    </row>
    <row r="66" spans="1:6" x14ac:dyDescent="0.25">
      <c r="A66" t="s">
        <v>522</v>
      </c>
      <c r="B66" t="s">
        <v>523</v>
      </c>
      <c r="C66" t="s">
        <v>524</v>
      </c>
      <c r="D66" t="s">
        <v>412</v>
      </c>
      <c r="E66" t="s">
        <v>525</v>
      </c>
      <c r="F66">
        <f>VLOOKUP(A66,Country_WorkingSheet!$A$1:$D$202,2,FALSE)</f>
        <v>38</v>
      </c>
    </row>
    <row r="67" spans="1:6" x14ac:dyDescent="0.25">
      <c r="A67" t="s">
        <v>522</v>
      </c>
      <c r="B67" t="s">
        <v>526</v>
      </c>
      <c r="C67" t="s">
        <v>527</v>
      </c>
      <c r="D67" t="s">
        <v>528</v>
      </c>
      <c r="E67" t="s">
        <v>529</v>
      </c>
      <c r="F67">
        <f>VLOOKUP(A67,Country_WorkingSheet!$A$1:$D$202,2,FALSE)</f>
        <v>38</v>
      </c>
    </row>
    <row r="68" spans="1:6" x14ac:dyDescent="0.25">
      <c r="A68" t="s">
        <v>522</v>
      </c>
      <c r="B68" t="s">
        <v>530</v>
      </c>
      <c r="C68" t="s">
        <v>531</v>
      </c>
      <c r="D68" t="s">
        <v>528</v>
      </c>
      <c r="E68" t="s">
        <v>532</v>
      </c>
      <c r="F68">
        <f>VLOOKUP(A68,Country_WorkingSheet!$A$1:$D$202,2,FALSE)</f>
        <v>38</v>
      </c>
    </row>
    <row r="69" spans="1:6" x14ac:dyDescent="0.25">
      <c r="A69" t="s">
        <v>522</v>
      </c>
      <c r="B69" t="s">
        <v>533</v>
      </c>
      <c r="C69" t="s">
        <v>534</v>
      </c>
      <c r="D69" t="s">
        <v>412</v>
      </c>
      <c r="E69" t="s">
        <v>535</v>
      </c>
      <c r="F69">
        <f>VLOOKUP(A69,Country_WorkingSheet!$A$1:$D$202,2,FALSE)</f>
        <v>38</v>
      </c>
    </row>
    <row r="70" spans="1:6" x14ac:dyDescent="0.25">
      <c r="A70" t="s">
        <v>522</v>
      </c>
      <c r="B70" t="s">
        <v>536</v>
      </c>
      <c r="C70" t="s">
        <v>537</v>
      </c>
      <c r="D70" t="s">
        <v>412</v>
      </c>
      <c r="E70" t="s">
        <v>538</v>
      </c>
      <c r="F70">
        <f>VLOOKUP(A70,Country_WorkingSheet!$A$1:$D$202,2,FALSE)</f>
        <v>38</v>
      </c>
    </row>
    <row r="71" spans="1:6" x14ac:dyDescent="0.25">
      <c r="A71" t="s">
        <v>522</v>
      </c>
      <c r="B71" t="s">
        <v>539</v>
      </c>
      <c r="C71" t="s">
        <v>540</v>
      </c>
      <c r="D71" t="s">
        <v>412</v>
      </c>
      <c r="E71" t="s">
        <v>541</v>
      </c>
      <c r="F71">
        <f>VLOOKUP(A71,Country_WorkingSheet!$A$1:$D$202,2,FALSE)</f>
        <v>38</v>
      </c>
    </row>
    <row r="72" spans="1:6" x14ac:dyDescent="0.25">
      <c r="A72" t="s">
        <v>522</v>
      </c>
      <c r="B72" t="s">
        <v>542</v>
      </c>
      <c r="C72" t="s">
        <v>543</v>
      </c>
      <c r="D72" t="s">
        <v>544</v>
      </c>
      <c r="E72" t="s">
        <v>545</v>
      </c>
      <c r="F72">
        <f>VLOOKUP(A72,Country_WorkingSheet!$A$1:$D$202,2,FALSE)</f>
        <v>38</v>
      </c>
    </row>
    <row r="73" spans="1:6" x14ac:dyDescent="0.25">
      <c r="A73" t="s">
        <v>522</v>
      </c>
      <c r="B73" t="s">
        <v>546</v>
      </c>
      <c r="C73" t="s">
        <v>547</v>
      </c>
      <c r="D73" t="s">
        <v>412</v>
      </c>
      <c r="E73" t="s">
        <v>548</v>
      </c>
      <c r="F73">
        <f>VLOOKUP(A73,Country_WorkingSheet!$A$1:$D$202,2,FALSE)</f>
        <v>38</v>
      </c>
    </row>
    <row r="74" spans="1:6" x14ac:dyDescent="0.25">
      <c r="A74" t="s">
        <v>522</v>
      </c>
      <c r="B74" t="s">
        <v>549</v>
      </c>
      <c r="C74" t="s">
        <v>550</v>
      </c>
      <c r="D74" t="s">
        <v>412</v>
      </c>
      <c r="E74" t="s">
        <v>551</v>
      </c>
      <c r="F74">
        <f>VLOOKUP(A74,Country_WorkingSheet!$A$1:$D$202,2,FALSE)</f>
        <v>38</v>
      </c>
    </row>
    <row r="75" spans="1:6" x14ac:dyDescent="0.25">
      <c r="A75" t="s">
        <v>522</v>
      </c>
      <c r="B75" t="s">
        <v>552</v>
      </c>
      <c r="C75" t="s">
        <v>553</v>
      </c>
      <c r="D75" t="s">
        <v>412</v>
      </c>
      <c r="E75" t="s">
        <v>554</v>
      </c>
      <c r="F75">
        <f>VLOOKUP(A75,Country_WorkingSheet!$A$1:$D$202,2,FALSE)</f>
        <v>38</v>
      </c>
    </row>
    <row r="76" spans="1:6" x14ac:dyDescent="0.25">
      <c r="A76" t="s">
        <v>522</v>
      </c>
      <c r="B76" t="s">
        <v>555</v>
      </c>
      <c r="C76" t="s">
        <v>556</v>
      </c>
      <c r="D76" t="s">
        <v>412</v>
      </c>
      <c r="E76" t="s">
        <v>557</v>
      </c>
      <c r="F76">
        <f>VLOOKUP(A76,Country_WorkingSheet!$A$1:$D$202,2,FALSE)</f>
        <v>38</v>
      </c>
    </row>
    <row r="77" spans="1:6" x14ac:dyDescent="0.25">
      <c r="A77" t="s">
        <v>522</v>
      </c>
      <c r="B77" t="s">
        <v>558</v>
      </c>
      <c r="C77" t="s">
        <v>559</v>
      </c>
      <c r="D77" t="s">
        <v>412</v>
      </c>
      <c r="E77" t="s">
        <v>560</v>
      </c>
      <c r="F77">
        <f>VLOOKUP(A77,Country_WorkingSheet!$A$1:$D$202,2,FALSE)</f>
        <v>38</v>
      </c>
    </row>
    <row r="78" spans="1:6" x14ac:dyDescent="0.25">
      <c r="A78" t="s">
        <v>522</v>
      </c>
      <c r="B78" t="s">
        <v>561</v>
      </c>
      <c r="C78" t="s">
        <v>562</v>
      </c>
      <c r="D78" t="s">
        <v>563</v>
      </c>
      <c r="E78" t="s">
        <v>564</v>
      </c>
      <c r="F78">
        <f>VLOOKUP(A78,Country_WorkingSheet!$A$1:$D$202,2,FALSE)</f>
        <v>38</v>
      </c>
    </row>
    <row r="79" spans="1:6" x14ac:dyDescent="0.25">
      <c r="A79" t="s">
        <v>522</v>
      </c>
      <c r="B79" t="s">
        <v>565</v>
      </c>
      <c r="D79" t="s">
        <v>412</v>
      </c>
      <c r="F79">
        <f>VLOOKUP(A79,Country_WorkingSheet!$A$1:$D$202,2,FALSE)</f>
        <v>38</v>
      </c>
    </row>
    <row r="80" spans="1:6" x14ac:dyDescent="0.25">
      <c r="A80" t="s">
        <v>522</v>
      </c>
      <c r="B80" t="s">
        <v>566</v>
      </c>
      <c r="C80" t="s">
        <v>567</v>
      </c>
      <c r="D80" t="s">
        <v>412</v>
      </c>
      <c r="E80" t="s">
        <v>568</v>
      </c>
      <c r="F80">
        <f>VLOOKUP(A80,Country_WorkingSheet!$A$1:$D$202,2,FALSE)</f>
        <v>38</v>
      </c>
    </row>
    <row r="81" spans="1:6" x14ac:dyDescent="0.25">
      <c r="A81" t="s">
        <v>522</v>
      </c>
      <c r="B81" t="s">
        <v>569</v>
      </c>
      <c r="C81" t="s">
        <v>570</v>
      </c>
      <c r="D81" t="s">
        <v>412</v>
      </c>
      <c r="E81" t="s">
        <v>571</v>
      </c>
      <c r="F81">
        <f>VLOOKUP(A81,Country_WorkingSheet!$A$1:$D$202,2,FALSE)</f>
        <v>38</v>
      </c>
    </row>
    <row r="82" spans="1:6" x14ac:dyDescent="0.25">
      <c r="A82" t="s">
        <v>522</v>
      </c>
      <c r="B82" t="s">
        <v>572</v>
      </c>
      <c r="C82" t="s">
        <v>573</v>
      </c>
      <c r="D82" t="s">
        <v>412</v>
      </c>
      <c r="E82" t="s">
        <v>574</v>
      </c>
      <c r="F82">
        <f>VLOOKUP(A82,Country_WorkingSheet!$A$1:$D$202,2,FALSE)</f>
        <v>38</v>
      </c>
    </row>
    <row r="83" spans="1:6" x14ac:dyDescent="0.25">
      <c r="A83" t="s">
        <v>522</v>
      </c>
      <c r="B83" t="s">
        <v>575</v>
      </c>
      <c r="C83" t="s">
        <v>576</v>
      </c>
      <c r="D83" t="s">
        <v>412</v>
      </c>
      <c r="E83" t="s">
        <v>577</v>
      </c>
      <c r="F83">
        <f>VLOOKUP(A83,Country_WorkingSheet!$A$1:$D$202,2,FALSE)</f>
        <v>38</v>
      </c>
    </row>
    <row r="84" spans="1:6" x14ac:dyDescent="0.25">
      <c r="A84" t="s">
        <v>522</v>
      </c>
      <c r="B84" t="s">
        <v>578</v>
      </c>
      <c r="C84" t="s">
        <v>579</v>
      </c>
      <c r="D84" t="s">
        <v>412</v>
      </c>
      <c r="E84" t="s">
        <v>580</v>
      </c>
      <c r="F84">
        <f>VLOOKUP(A84,Country_WorkingSheet!$A$1:$D$202,2,FALSE)</f>
        <v>38</v>
      </c>
    </row>
    <row r="85" spans="1:6" x14ac:dyDescent="0.25">
      <c r="A85" t="s">
        <v>522</v>
      </c>
      <c r="B85" t="s">
        <v>581</v>
      </c>
      <c r="C85" t="s">
        <v>582</v>
      </c>
      <c r="D85" t="s">
        <v>412</v>
      </c>
      <c r="E85" t="s">
        <v>583</v>
      </c>
      <c r="F85">
        <f>VLOOKUP(A85,Country_WorkingSheet!$A$1:$D$202,2,FALSE)</f>
        <v>38</v>
      </c>
    </row>
    <row r="86" spans="1:6" x14ac:dyDescent="0.25">
      <c r="A86" t="s">
        <v>522</v>
      </c>
      <c r="B86" t="s">
        <v>584</v>
      </c>
      <c r="C86" t="s">
        <v>585</v>
      </c>
      <c r="D86" t="s">
        <v>563</v>
      </c>
      <c r="E86" t="s">
        <v>586</v>
      </c>
      <c r="F86">
        <f>VLOOKUP(A86,Country_WorkingSheet!$A$1:$D$202,2,FALSE)</f>
        <v>38</v>
      </c>
    </row>
    <row r="87" spans="1:6" x14ac:dyDescent="0.25">
      <c r="A87" t="s">
        <v>522</v>
      </c>
      <c r="B87" t="s">
        <v>587</v>
      </c>
      <c r="D87" t="s">
        <v>412</v>
      </c>
      <c r="F87">
        <f>VLOOKUP(A87,Country_WorkingSheet!$A$1:$D$202,2,FALSE)</f>
        <v>38</v>
      </c>
    </row>
    <row r="88" spans="1:6" x14ac:dyDescent="0.25">
      <c r="A88" t="s">
        <v>522</v>
      </c>
      <c r="B88" t="s">
        <v>588</v>
      </c>
      <c r="D88" t="s">
        <v>412</v>
      </c>
      <c r="F88">
        <f>VLOOKUP(A88,Country_WorkingSheet!$A$1:$D$202,2,FALSE)</f>
        <v>38</v>
      </c>
    </row>
    <row r="89" spans="1:6" x14ac:dyDescent="0.25">
      <c r="A89" t="s">
        <v>522</v>
      </c>
      <c r="B89" t="s">
        <v>589</v>
      </c>
      <c r="C89" t="s">
        <v>590</v>
      </c>
      <c r="D89" t="s">
        <v>544</v>
      </c>
      <c r="E89" t="s">
        <v>591</v>
      </c>
      <c r="F89">
        <f>VLOOKUP(A89,Country_WorkingSheet!$A$1:$D$202,2,FALSE)</f>
        <v>38</v>
      </c>
    </row>
    <row r="90" spans="1:6" x14ac:dyDescent="0.25">
      <c r="A90" t="s">
        <v>522</v>
      </c>
      <c r="B90" t="s">
        <v>592</v>
      </c>
      <c r="C90" t="s">
        <v>593</v>
      </c>
      <c r="D90" t="s">
        <v>544</v>
      </c>
      <c r="E90" t="s">
        <v>594</v>
      </c>
      <c r="F90">
        <f>VLOOKUP(A90,Country_WorkingSheet!$A$1:$D$202,2,FALSE)</f>
        <v>38</v>
      </c>
    </row>
    <row r="91" spans="1:6" x14ac:dyDescent="0.25">
      <c r="A91" t="s">
        <v>522</v>
      </c>
      <c r="B91" t="s">
        <v>595</v>
      </c>
      <c r="C91" t="s">
        <v>596</v>
      </c>
      <c r="D91" t="s">
        <v>412</v>
      </c>
      <c r="E91" t="s">
        <v>597</v>
      </c>
      <c r="F91">
        <f>VLOOKUP(A91,Country_WorkingSheet!$A$1:$D$202,2,FALSE)</f>
        <v>38</v>
      </c>
    </row>
    <row r="92" spans="1:6" x14ac:dyDescent="0.25">
      <c r="A92" t="s">
        <v>522</v>
      </c>
      <c r="B92" t="s">
        <v>598</v>
      </c>
      <c r="C92" t="s">
        <v>599</v>
      </c>
      <c r="D92" t="s">
        <v>412</v>
      </c>
      <c r="E92" t="s">
        <v>600</v>
      </c>
      <c r="F92">
        <f>VLOOKUP(A92,Country_WorkingSheet!$A$1:$D$202,2,FALSE)</f>
        <v>38</v>
      </c>
    </row>
    <row r="93" spans="1:6" x14ac:dyDescent="0.25">
      <c r="A93" t="s">
        <v>522</v>
      </c>
      <c r="B93" t="s">
        <v>601</v>
      </c>
      <c r="C93" t="s">
        <v>602</v>
      </c>
      <c r="D93" t="s">
        <v>412</v>
      </c>
      <c r="E93" t="s">
        <v>603</v>
      </c>
      <c r="F93">
        <f>VLOOKUP(A93,Country_WorkingSheet!$A$1:$D$202,2,FALSE)</f>
        <v>38</v>
      </c>
    </row>
    <row r="94" spans="1:6" x14ac:dyDescent="0.25">
      <c r="A94" t="s">
        <v>522</v>
      </c>
      <c r="B94" t="s">
        <v>604</v>
      </c>
      <c r="C94" t="s">
        <v>605</v>
      </c>
      <c r="D94" t="s">
        <v>528</v>
      </c>
      <c r="E94" t="s">
        <v>606</v>
      </c>
      <c r="F94">
        <f>VLOOKUP(A94,Country_WorkingSheet!$A$1:$D$202,2,FALSE)</f>
        <v>38</v>
      </c>
    </row>
    <row r="95" spans="1:6" x14ac:dyDescent="0.25">
      <c r="A95" t="s">
        <v>522</v>
      </c>
      <c r="B95" t="s">
        <v>607</v>
      </c>
      <c r="C95" t="s">
        <v>608</v>
      </c>
      <c r="D95" t="s">
        <v>412</v>
      </c>
      <c r="E95" t="s">
        <v>609</v>
      </c>
      <c r="F95">
        <f>VLOOKUP(A95,Country_WorkingSheet!$A$1:$D$202,2,FALSE)</f>
        <v>38</v>
      </c>
    </row>
    <row r="96" spans="1:6" x14ac:dyDescent="0.25">
      <c r="A96" t="s">
        <v>522</v>
      </c>
      <c r="B96" t="s">
        <v>610</v>
      </c>
      <c r="C96" t="s">
        <v>611</v>
      </c>
      <c r="D96" t="s">
        <v>412</v>
      </c>
      <c r="E96" t="s">
        <v>612</v>
      </c>
      <c r="F96">
        <f>VLOOKUP(A96,Country_WorkingSheet!$A$1:$D$202,2,FALSE)</f>
        <v>38</v>
      </c>
    </row>
    <row r="97" spans="1:6" x14ac:dyDescent="0.25">
      <c r="A97" t="s">
        <v>522</v>
      </c>
      <c r="B97" t="s">
        <v>613</v>
      </c>
      <c r="C97" t="s">
        <v>614</v>
      </c>
      <c r="D97" t="s">
        <v>528</v>
      </c>
      <c r="E97" t="s">
        <v>615</v>
      </c>
      <c r="F97">
        <f>VLOOKUP(A97,Country_WorkingSheet!$A$1:$D$202,2,FALSE)</f>
        <v>38</v>
      </c>
    </row>
    <row r="98" spans="1:6" x14ac:dyDescent="0.25">
      <c r="A98" t="s">
        <v>522</v>
      </c>
      <c r="B98" t="s">
        <v>616</v>
      </c>
      <c r="C98" t="s">
        <v>617</v>
      </c>
      <c r="D98" t="s">
        <v>412</v>
      </c>
      <c r="E98" t="s">
        <v>618</v>
      </c>
      <c r="F98">
        <f>VLOOKUP(A98,Country_WorkingSheet!$A$1:$D$202,2,FALSE)</f>
        <v>38</v>
      </c>
    </row>
    <row r="99" spans="1:6" x14ac:dyDescent="0.25">
      <c r="A99" t="s">
        <v>522</v>
      </c>
      <c r="B99" t="s">
        <v>619</v>
      </c>
      <c r="C99" t="s">
        <v>620</v>
      </c>
      <c r="D99" t="s">
        <v>544</v>
      </c>
      <c r="E99" t="s">
        <v>621</v>
      </c>
      <c r="F99">
        <f>VLOOKUP(A99,Country_WorkingSheet!$A$1:$D$202,2,FALSE)</f>
        <v>38</v>
      </c>
    </row>
    <row r="100" spans="1:6" x14ac:dyDescent="0.25">
      <c r="A100" t="s">
        <v>522</v>
      </c>
      <c r="B100" t="s">
        <v>622</v>
      </c>
      <c r="C100" t="s">
        <v>623</v>
      </c>
      <c r="D100" t="s">
        <v>544</v>
      </c>
      <c r="E100" t="s">
        <v>624</v>
      </c>
      <c r="F100">
        <f>VLOOKUP(A100,Country_WorkingSheet!$A$1:$D$202,2,FALSE)</f>
        <v>38</v>
      </c>
    </row>
    <row r="101" spans="1:6" x14ac:dyDescent="0.25">
      <c r="A101" t="s">
        <v>522</v>
      </c>
      <c r="B101" t="s">
        <v>625</v>
      </c>
      <c r="C101" t="s">
        <v>626</v>
      </c>
      <c r="D101" t="s">
        <v>412</v>
      </c>
      <c r="E101" t="s">
        <v>627</v>
      </c>
      <c r="F101">
        <f>VLOOKUP(A101,Country_WorkingSheet!$A$1:$D$202,2,FALSE)</f>
        <v>38</v>
      </c>
    </row>
    <row r="102" spans="1:6" x14ac:dyDescent="0.25">
      <c r="A102" t="s">
        <v>522</v>
      </c>
      <c r="B102" t="s">
        <v>628</v>
      </c>
      <c r="C102" t="s">
        <v>629</v>
      </c>
      <c r="D102" t="s">
        <v>412</v>
      </c>
      <c r="E102" t="s">
        <v>630</v>
      </c>
      <c r="F102">
        <f>VLOOKUP(A102,Country_WorkingSheet!$A$1:$D$202,2,FALSE)</f>
        <v>38</v>
      </c>
    </row>
    <row r="103" spans="1:6" x14ac:dyDescent="0.25">
      <c r="A103" t="s">
        <v>631</v>
      </c>
      <c r="B103" t="s">
        <v>632</v>
      </c>
      <c r="C103" t="s">
        <v>632</v>
      </c>
      <c r="D103" t="s">
        <v>462</v>
      </c>
      <c r="F103">
        <f>VLOOKUP(A103,Country_WorkingSheet!$A$1:$D$202,2,FALSE)</f>
        <v>83</v>
      </c>
    </row>
    <row r="104" spans="1:6" x14ac:dyDescent="0.25">
      <c r="A104" t="s">
        <v>631</v>
      </c>
      <c r="B104" t="s">
        <v>633</v>
      </c>
      <c r="C104" t="s">
        <v>633</v>
      </c>
      <c r="D104" t="s">
        <v>462</v>
      </c>
      <c r="F104">
        <f>VLOOKUP(A104,Country_WorkingSheet!$A$1:$D$202,2,FALSE)</f>
        <v>83</v>
      </c>
    </row>
    <row r="105" spans="1:6" x14ac:dyDescent="0.25">
      <c r="A105" t="s">
        <v>631</v>
      </c>
      <c r="B105" t="s">
        <v>634</v>
      </c>
      <c r="C105" t="s">
        <v>635</v>
      </c>
      <c r="D105" t="s">
        <v>462</v>
      </c>
      <c r="F105">
        <f>VLOOKUP(A105,Country_WorkingSheet!$A$1:$D$202,2,FALSE)</f>
        <v>83</v>
      </c>
    </row>
    <row r="106" spans="1:6" x14ac:dyDescent="0.25">
      <c r="A106" t="s">
        <v>631</v>
      </c>
      <c r="B106" t="s">
        <v>636</v>
      </c>
      <c r="C106" t="s">
        <v>636</v>
      </c>
      <c r="D106" t="s">
        <v>462</v>
      </c>
      <c r="F106">
        <f>VLOOKUP(A106,Country_WorkingSheet!$A$1:$D$202,2,FALSE)</f>
        <v>83</v>
      </c>
    </row>
    <row r="107" spans="1:6" x14ac:dyDescent="0.25">
      <c r="A107" t="s">
        <v>631</v>
      </c>
      <c r="B107" t="s">
        <v>637</v>
      </c>
      <c r="C107" t="s">
        <v>637</v>
      </c>
      <c r="D107" t="s">
        <v>462</v>
      </c>
      <c r="F107">
        <f>VLOOKUP(A107,Country_WorkingSheet!$A$1:$D$202,2,FALSE)</f>
        <v>83</v>
      </c>
    </row>
    <row r="108" spans="1:6" x14ac:dyDescent="0.25">
      <c r="A108" t="s">
        <v>631</v>
      </c>
      <c r="B108" t="s">
        <v>638</v>
      </c>
      <c r="C108" t="s">
        <v>638</v>
      </c>
      <c r="D108" t="s">
        <v>462</v>
      </c>
      <c r="F108">
        <f>VLOOKUP(A108,Country_WorkingSheet!$A$1:$D$202,2,FALSE)</f>
        <v>83</v>
      </c>
    </row>
    <row r="109" spans="1:6" x14ac:dyDescent="0.25">
      <c r="A109" t="s">
        <v>631</v>
      </c>
      <c r="B109" t="s">
        <v>639</v>
      </c>
      <c r="C109" t="s">
        <v>639</v>
      </c>
      <c r="D109" t="s">
        <v>462</v>
      </c>
      <c r="F109">
        <f>VLOOKUP(A109,Country_WorkingSheet!$A$1:$D$202,2,FALSE)</f>
        <v>83</v>
      </c>
    </row>
    <row r="110" spans="1:6" x14ac:dyDescent="0.25">
      <c r="A110" t="s">
        <v>631</v>
      </c>
      <c r="B110" t="s">
        <v>640</v>
      </c>
      <c r="C110" t="s">
        <v>640</v>
      </c>
      <c r="D110" t="s">
        <v>462</v>
      </c>
      <c r="F110">
        <f>VLOOKUP(A110,Country_WorkingSheet!$A$1:$D$202,2,FALSE)</f>
        <v>83</v>
      </c>
    </row>
    <row r="111" spans="1:6" x14ac:dyDescent="0.25">
      <c r="A111" t="s">
        <v>631</v>
      </c>
      <c r="B111" t="s">
        <v>641</v>
      </c>
      <c r="C111" t="s">
        <v>641</v>
      </c>
      <c r="D111" t="s">
        <v>462</v>
      </c>
      <c r="F111">
        <f>VLOOKUP(A111,Country_WorkingSheet!$A$1:$D$202,2,FALSE)</f>
        <v>83</v>
      </c>
    </row>
    <row r="112" spans="1:6" x14ac:dyDescent="0.25">
      <c r="A112" t="s">
        <v>631</v>
      </c>
      <c r="B112" t="s">
        <v>642</v>
      </c>
      <c r="C112" t="s">
        <v>642</v>
      </c>
      <c r="D112" t="s">
        <v>462</v>
      </c>
      <c r="F112">
        <f>VLOOKUP(A112,Country_WorkingSheet!$A$1:$D$202,2,FALSE)</f>
        <v>83</v>
      </c>
    </row>
    <row r="113" spans="1:6" x14ac:dyDescent="0.25">
      <c r="A113" t="s">
        <v>631</v>
      </c>
      <c r="B113" t="s">
        <v>643</v>
      </c>
      <c r="C113" t="s">
        <v>644</v>
      </c>
      <c r="D113" t="s">
        <v>462</v>
      </c>
      <c r="F113">
        <f>VLOOKUP(A113,Country_WorkingSheet!$A$1:$D$202,2,FALSE)</f>
        <v>83</v>
      </c>
    </row>
    <row r="114" spans="1:6" x14ac:dyDescent="0.25">
      <c r="A114" t="s">
        <v>631</v>
      </c>
      <c r="B114" t="s">
        <v>645</v>
      </c>
      <c r="C114" t="s">
        <v>645</v>
      </c>
      <c r="D114" t="s">
        <v>462</v>
      </c>
      <c r="F114">
        <f>VLOOKUP(A114,Country_WorkingSheet!$A$1:$D$202,2,FALSE)</f>
        <v>83</v>
      </c>
    </row>
    <row r="115" spans="1:6" x14ac:dyDescent="0.25">
      <c r="A115" t="s">
        <v>631</v>
      </c>
      <c r="B115" t="s">
        <v>646</v>
      </c>
      <c r="C115" t="s">
        <v>646</v>
      </c>
      <c r="D115" t="s">
        <v>462</v>
      </c>
      <c r="F115">
        <f>VLOOKUP(A115,Country_WorkingSheet!$A$1:$D$202,2,FALSE)</f>
        <v>83</v>
      </c>
    </row>
    <row r="116" spans="1:6" x14ac:dyDescent="0.25">
      <c r="A116" t="s">
        <v>631</v>
      </c>
      <c r="B116" t="s">
        <v>647</v>
      </c>
      <c r="C116" t="s">
        <v>647</v>
      </c>
      <c r="D116" t="s">
        <v>462</v>
      </c>
      <c r="F116">
        <f>VLOOKUP(A116,Country_WorkingSheet!$A$1:$D$202,2,FALSE)</f>
        <v>83</v>
      </c>
    </row>
    <row r="117" spans="1:6" x14ac:dyDescent="0.25">
      <c r="A117" t="s">
        <v>631</v>
      </c>
      <c r="B117" t="s">
        <v>648</v>
      </c>
      <c r="C117" t="s">
        <v>648</v>
      </c>
      <c r="D117" t="s">
        <v>462</v>
      </c>
      <c r="F117">
        <f>VLOOKUP(A117,Country_WorkingSheet!$A$1:$D$202,2,FALSE)</f>
        <v>83</v>
      </c>
    </row>
    <row r="118" spans="1:6" x14ac:dyDescent="0.25">
      <c r="A118" t="s">
        <v>631</v>
      </c>
      <c r="B118" t="s">
        <v>649</v>
      </c>
      <c r="C118" t="s">
        <v>649</v>
      </c>
      <c r="D118" t="s">
        <v>462</v>
      </c>
      <c r="F118">
        <f>VLOOKUP(A118,Country_WorkingSheet!$A$1:$D$202,2,FALSE)</f>
        <v>83</v>
      </c>
    </row>
    <row r="119" spans="1:6" x14ac:dyDescent="0.25">
      <c r="A119" t="s">
        <v>631</v>
      </c>
      <c r="B119" t="s">
        <v>650</v>
      </c>
      <c r="C119" t="s">
        <v>650</v>
      </c>
      <c r="D119" t="s">
        <v>462</v>
      </c>
      <c r="F119">
        <f>VLOOKUP(A119,Country_WorkingSheet!$A$1:$D$202,2,FALSE)</f>
        <v>83</v>
      </c>
    </row>
    <row r="120" spans="1:6" x14ac:dyDescent="0.25">
      <c r="A120" t="s">
        <v>631</v>
      </c>
      <c r="B120" t="s">
        <v>651</v>
      </c>
      <c r="C120" t="s">
        <v>651</v>
      </c>
      <c r="D120" t="s">
        <v>462</v>
      </c>
      <c r="F120">
        <f>VLOOKUP(A120,Country_WorkingSheet!$A$1:$D$202,2,FALSE)</f>
        <v>83</v>
      </c>
    </row>
    <row r="121" spans="1:6" x14ac:dyDescent="0.25">
      <c r="A121" t="s">
        <v>631</v>
      </c>
      <c r="B121" t="s">
        <v>652</v>
      </c>
      <c r="C121" t="s">
        <v>652</v>
      </c>
      <c r="D121" t="s">
        <v>462</v>
      </c>
      <c r="F121">
        <f>VLOOKUP(A121,Country_WorkingSheet!$A$1:$D$202,2,FALSE)</f>
        <v>83</v>
      </c>
    </row>
    <row r="122" spans="1:6" x14ac:dyDescent="0.25">
      <c r="A122" t="s">
        <v>631</v>
      </c>
      <c r="B122" t="s">
        <v>653</v>
      </c>
      <c r="C122" t="s">
        <v>653</v>
      </c>
      <c r="D122" t="s">
        <v>462</v>
      </c>
      <c r="F122">
        <f>VLOOKUP(A122,Country_WorkingSheet!$A$1:$D$202,2,FALSE)</f>
        <v>83</v>
      </c>
    </row>
    <row r="123" spans="1:6" x14ac:dyDescent="0.25">
      <c r="A123" t="s">
        <v>631</v>
      </c>
      <c r="B123" t="s">
        <v>654</v>
      </c>
      <c r="C123" t="s">
        <v>654</v>
      </c>
      <c r="D123" t="s">
        <v>462</v>
      </c>
      <c r="F123">
        <f>VLOOKUP(A123,Country_WorkingSheet!$A$1:$D$202,2,FALSE)</f>
        <v>83</v>
      </c>
    </row>
    <row r="124" spans="1:6" x14ac:dyDescent="0.25">
      <c r="A124" t="s">
        <v>631</v>
      </c>
      <c r="B124" t="s">
        <v>655</v>
      </c>
      <c r="C124" t="s">
        <v>655</v>
      </c>
      <c r="D124" t="s">
        <v>462</v>
      </c>
      <c r="F124">
        <f>VLOOKUP(A124,Country_WorkingSheet!$A$1:$D$202,2,FALSE)</f>
        <v>83</v>
      </c>
    </row>
    <row r="125" spans="1:6" x14ac:dyDescent="0.25">
      <c r="A125" t="s">
        <v>631</v>
      </c>
      <c r="B125" t="s">
        <v>656</v>
      </c>
      <c r="C125" t="s">
        <v>656</v>
      </c>
      <c r="D125" t="s">
        <v>462</v>
      </c>
      <c r="F125">
        <f>VLOOKUP(A125,Country_WorkingSheet!$A$1:$D$202,2,FALSE)</f>
        <v>83</v>
      </c>
    </row>
    <row r="126" spans="1:6" x14ac:dyDescent="0.25">
      <c r="A126" t="s">
        <v>631</v>
      </c>
      <c r="B126" t="s">
        <v>657</v>
      </c>
      <c r="C126" t="s">
        <v>657</v>
      </c>
      <c r="D126" t="s">
        <v>462</v>
      </c>
      <c r="F126">
        <f>VLOOKUP(A126,Country_WorkingSheet!$A$1:$D$202,2,FALSE)</f>
        <v>83</v>
      </c>
    </row>
    <row r="127" spans="1:6" x14ac:dyDescent="0.25">
      <c r="A127" t="s">
        <v>631</v>
      </c>
      <c r="B127" t="s">
        <v>658</v>
      </c>
      <c r="C127" t="s">
        <v>658</v>
      </c>
      <c r="D127" t="s">
        <v>462</v>
      </c>
      <c r="F127">
        <f>VLOOKUP(A127,Country_WorkingSheet!$A$1:$D$202,2,FALSE)</f>
        <v>83</v>
      </c>
    </row>
    <row r="128" spans="1:6" x14ac:dyDescent="0.25">
      <c r="A128" t="s">
        <v>631</v>
      </c>
      <c r="B128" t="s">
        <v>659</v>
      </c>
      <c r="C128" t="s">
        <v>659</v>
      </c>
      <c r="D128" t="s">
        <v>462</v>
      </c>
      <c r="F128">
        <f>VLOOKUP(A128,Country_WorkingSheet!$A$1:$D$202,2,FALSE)</f>
        <v>83</v>
      </c>
    </row>
    <row r="129" spans="1:6" x14ac:dyDescent="0.25">
      <c r="A129" t="s">
        <v>631</v>
      </c>
      <c r="B129" t="s">
        <v>660</v>
      </c>
      <c r="C129" t="s">
        <v>660</v>
      </c>
      <c r="D129" t="s">
        <v>462</v>
      </c>
      <c r="F129">
        <f>VLOOKUP(A129,Country_WorkingSheet!$A$1:$D$202,2,FALSE)</f>
        <v>83</v>
      </c>
    </row>
    <row r="130" spans="1:6" x14ac:dyDescent="0.25">
      <c r="A130" t="s">
        <v>631</v>
      </c>
      <c r="B130" t="s">
        <v>661</v>
      </c>
      <c r="C130" t="s">
        <v>661</v>
      </c>
      <c r="D130" t="s">
        <v>462</v>
      </c>
      <c r="F130">
        <f>VLOOKUP(A130,Country_WorkingSheet!$A$1:$D$202,2,FALSE)</f>
        <v>83</v>
      </c>
    </row>
    <row r="131" spans="1:6" x14ac:dyDescent="0.25">
      <c r="A131" t="s">
        <v>631</v>
      </c>
      <c r="B131" t="s">
        <v>662</v>
      </c>
      <c r="C131" t="s">
        <v>662</v>
      </c>
      <c r="D131" t="s">
        <v>462</v>
      </c>
      <c r="F131">
        <f>VLOOKUP(A131,Country_WorkingSheet!$A$1:$D$202,2,FALSE)</f>
        <v>83</v>
      </c>
    </row>
    <row r="132" spans="1:6" x14ac:dyDescent="0.25">
      <c r="A132" t="s">
        <v>631</v>
      </c>
      <c r="B132" t="s">
        <v>663</v>
      </c>
      <c r="C132" t="s">
        <v>663</v>
      </c>
      <c r="D132" t="s">
        <v>462</v>
      </c>
      <c r="F132">
        <f>VLOOKUP(A132,Country_WorkingSheet!$A$1:$D$202,2,FALSE)</f>
        <v>83</v>
      </c>
    </row>
    <row r="133" spans="1:6" x14ac:dyDescent="0.25">
      <c r="A133" t="s">
        <v>631</v>
      </c>
      <c r="B133" t="s">
        <v>664</v>
      </c>
      <c r="C133" t="s">
        <v>664</v>
      </c>
      <c r="D133" t="s">
        <v>462</v>
      </c>
      <c r="F133">
        <f>VLOOKUP(A133,Country_WorkingSheet!$A$1:$D$202,2,FALSE)</f>
        <v>83</v>
      </c>
    </row>
    <row r="134" spans="1:6" x14ac:dyDescent="0.25">
      <c r="A134" t="s">
        <v>631</v>
      </c>
      <c r="B134" t="s">
        <v>665</v>
      </c>
      <c r="C134" t="s">
        <v>665</v>
      </c>
      <c r="D134" t="s">
        <v>462</v>
      </c>
      <c r="F134">
        <f>VLOOKUP(A134,Country_WorkingSheet!$A$1:$D$202,2,FALSE)</f>
        <v>83</v>
      </c>
    </row>
    <row r="135" spans="1:6" x14ac:dyDescent="0.25">
      <c r="A135" t="s">
        <v>631</v>
      </c>
      <c r="B135" t="s">
        <v>666</v>
      </c>
      <c r="C135" t="s">
        <v>666</v>
      </c>
      <c r="D135" t="s">
        <v>462</v>
      </c>
      <c r="F135">
        <f>VLOOKUP(A135,Country_WorkingSheet!$A$1:$D$202,2,FALSE)</f>
        <v>83</v>
      </c>
    </row>
    <row r="136" spans="1:6" x14ac:dyDescent="0.25">
      <c r="A136" t="s">
        <v>631</v>
      </c>
      <c r="B136" t="s">
        <v>667</v>
      </c>
      <c r="C136" t="s">
        <v>667</v>
      </c>
      <c r="D136" t="s">
        <v>462</v>
      </c>
      <c r="F136">
        <f>VLOOKUP(A136,Country_WorkingSheet!$A$1:$D$202,2,FALSE)</f>
        <v>83</v>
      </c>
    </row>
    <row r="137" spans="1:6" x14ac:dyDescent="0.25">
      <c r="A137" t="s">
        <v>631</v>
      </c>
      <c r="B137" t="s">
        <v>668</v>
      </c>
      <c r="C137" t="s">
        <v>668</v>
      </c>
      <c r="D137" t="s">
        <v>462</v>
      </c>
      <c r="F137">
        <f>VLOOKUP(A137,Country_WorkingSheet!$A$1:$D$202,2,FALSE)</f>
        <v>83</v>
      </c>
    </row>
    <row r="138" spans="1:6" x14ac:dyDescent="0.25">
      <c r="A138" t="s">
        <v>631</v>
      </c>
      <c r="B138" t="s">
        <v>669</v>
      </c>
      <c r="C138" t="s">
        <v>669</v>
      </c>
      <c r="D138" t="s">
        <v>462</v>
      </c>
      <c r="F138">
        <f>VLOOKUP(A138,Country_WorkingSheet!$A$1:$D$202,2,FALSE)</f>
        <v>83</v>
      </c>
    </row>
    <row r="139" spans="1:6" x14ac:dyDescent="0.25">
      <c r="A139" t="s">
        <v>631</v>
      </c>
      <c r="B139" t="s">
        <v>670</v>
      </c>
      <c r="C139" t="s">
        <v>670</v>
      </c>
      <c r="D139" t="s">
        <v>462</v>
      </c>
      <c r="F139">
        <f>VLOOKUP(A139,Country_WorkingSheet!$A$1:$D$202,2,FALSE)</f>
        <v>83</v>
      </c>
    </row>
    <row r="140" spans="1:6" x14ac:dyDescent="0.25">
      <c r="A140" t="s">
        <v>671</v>
      </c>
      <c r="B140" t="s">
        <v>672</v>
      </c>
      <c r="C140" t="s">
        <v>673</v>
      </c>
      <c r="D140" t="s">
        <v>412</v>
      </c>
      <c r="F140">
        <f>VLOOKUP(A140,Country_WorkingSheet!$A$1:$D$202,2,FALSE)</f>
        <v>84</v>
      </c>
    </row>
    <row r="141" spans="1:6" x14ac:dyDescent="0.25">
      <c r="A141" t="s">
        <v>671</v>
      </c>
      <c r="B141" t="s">
        <v>674</v>
      </c>
      <c r="C141" t="s">
        <v>675</v>
      </c>
      <c r="D141" t="s">
        <v>412</v>
      </c>
      <c r="F141">
        <f>VLOOKUP(A141,Country_WorkingSheet!$A$1:$D$202,2,FALSE)</f>
        <v>84</v>
      </c>
    </row>
    <row r="142" spans="1:6" x14ac:dyDescent="0.25">
      <c r="A142" t="s">
        <v>671</v>
      </c>
      <c r="B142" t="s">
        <v>676</v>
      </c>
      <c r="C142" t="s">
        <v>677</v>
      </c>
      <c r="D142" t="s">
        <v>412</v>
      </c>
      <c r="F142">
        <f>VLOOKUP(A142,Country_WorkingSheet!$A$1:$D$202,2,FALSE)</f>
        <v>84</v>
      </c>
    </row>
    <row r="143" spans="1:6" x14ac:dyDescent="0.25">
      <c r="A143" t="s">
        <v>671</v>
      </c>
      <c r="B143" t="s">
        <v>678</v>
      </c>
      <c r="C143" t="s">
        <v>679</v>
      </c>
      <c r="D143" t="s">
        <v>412</v>
      </c>
      <c r="F143">
        <f>VLOOKUP(A143,Country_WorkingSheet!$A$1:$D$202,2,FALSE)</f>
        <v>84</v>
      </c>
    </row>
    <row r="144" spans="1:6" x14ac:dyDescent="0.25">
      <c r="A144" t="s">
        <v>671</v>
      </c>
      <c r="B144" t="s">
        <v>680</v>
      </c>
      <c r="C144" t="s">
        <v>681</v>
      </c>
      <c r="D144" t="s">
        <v>412</v>
      </c>
      <c r="F144">
        <f>VLOOKUP(A144,Country_WorkingSheet!$A$1:$D$202,2,FALSE)</f>
        <v>84</v>
      </c>
    </row>
    <row r="145" spans="1:6" x14ac:dyDescent="0.25">
      <c r="A145" t="s">
        <v>671</v>
      </c>
      <c r="B145" t="s">
        <v>682</v>
      </c>
      <c r="C145" t="s">
        <v>683</v>
      </c>
      <c r="D145" t="s">
        <v>412</v>
      </c>
      <c r="F145">
        <f>VLOOKUP(A145,Country_WorkingSheet!$A$1:$D$202,2,FALSE)</f>
        <v>84</v>
      </c>
    </row>
    <row r="146" spans="1:6" x14ac:dyDescent="0.25">
      <c r="A146" t="s">
        <v>671</v>
      </c>
      <c r="B146" t="s">
        <v>684</v>
      </c>
      <c r="C146" t="s">
        <v>685</v>
      </c>
      <c r="D146" t="s">
        <v>412</v>
      </c>
      <c r="F146">
        <f>VLOOKUP(A146,Country_WorkingSheet!$A$1:$D$202,2,FALSE)</f>
        <v>84</v>
      </c>
    </row>
    <row r="147" spans="1:6" x14ac:dyDescent="0.25">
      <c r="A147" t="s">
        <v>671</v>
      </c>
      <c r="B147" t="s">
        <v>686</v>
      </c>
      <c r="C147" t="s">
        <v>687</v>
      </c>
      <c r="D147" t="s">
        <v>412</v>
      </c>
      <c r="F147">
        <f>VLOOKUP(A147,Country_WorkingSheet!$A$1:$D$202,2,FALSE)</f>
        <v>84</v>
      </c>
    </row>
    <row r="148" spans="1:6" x14ac:dyDescent="0.25">
      <c r="A148" t="s">
        <v>671</v>
      </c>
      <c r="B148" t="s">
        <v>688</v>
      </c>
      <c r="C148" t="s">
        <v>689</v>
      </c>
      <c r="D148" t="s">
        <v>412</v>
      </c>
      <c r="F148">
        <f>VLOOKUP(A148,Country_WorkingSheet!$A$1:$D$202,2,FALSE)</f>
        <v>84</v>
      </c>
    </row>
    <row r="149" spans="1:6" x14ac:dyDescent="0.25">
      <c r="A149" t="s">
        <v>671</v>
      </c>
      <c r="B149" t="s">
        <v>690</v>
      </c>
      <c r="C149" t="s">
        <v>691</v>
      </c>
      <c r="D149" t="s">
        <v>412</v>
      </c>
      <c r="F149">
        <f>VLOOKUP(A149,Country_WorkingSheet!$A$1:$D$202,2,FALSE)</f>
        <v>84</v>
      </c>
    </row>
    <row r="150" spans="1:6" x14ac:dyDescent="0.25">
      <c r="A150" t="s">
        <v>671</v>
      </c>
      <c r="B150" t="s">
        <v>692</v>
      </c>
      <c r="C150" t="s">
        <v>693</v>
      </c>
      <c r="D150" t="s">
        <v>412</v>
      </c>
      <c r="F150">
        <f>VLOOKUP(A150,Country_WorkingSheet!$A$1:$D$202,2,FALSE)</f>
        <v>84</v>
      </c>
    </row>
    <row r="151" spans="1:6" x14ac:dyDescent="0.25">
      <c r="A151" t="s">
        <v>671</v>
      </c>
      <c r="B151" t="s">
        <v>694</v>
      </c>
      <c r="C151" t="s">
        <v>695</v>
      </c>
      <c r="D151" t="s">
        <v>412</v>
      </c>
      <c r="F151">
        <f>VLOOKUP(A151,Country_WorkingSheet!$A$1:$D$202,2,FALSE)</f>
        <v>84</v>
      </c>
    </row>
    <row r="152" spans="1:6" x14ac:dyDescent="0.25">
      <c r="A152" t="s">
        <v>671</v>
      </c>
      <c r="B152" t="s">
        <v>696</v>
      </c>
      <c r="C152" t="s">
        <v>697</v>
      </c>
      <c r="D152" t="s">
        <v>412</v>
      </c>
      <c r="F152">
        <f>VLOOKUP(A152,Country_WorkingSheet!$A$1:$D$202,2,FALSE)</f>
        <v>84</v>
      </c>
    </row>
    <row r="153" spans="1:6" x14ac:dyDescent="0.25">
      <c r="A153" t="s">
        <v>671</v>
      </c>
      <c r="B153" t="s">
        <v>698</v>
      </c>
      <c r="C153" t="s">
        <v>699</v>
      </c>
      <c r="D153" t="s">
        <v>412</v>
      </c>
      <c r="F153">
        <f>VLOOKUP(A153,Country_WorkingSheet!$A$1:$D$202,2,FALSE)</f>
        <v>84</v>
      </c>
    </row>
    <row r="154" spans="1:6" x14ac:dyDescent="0.25">
      <c r="A154" t="s">
        <v>671</v>
      </c>
      <c r="B154" t="s">
        <v>700</v>
      </c>
      <c r="C154" t="s">
        <v>701</v>
      </c>
      <c r="D154" t="s">
        <v>412</v>
      </c>
      <c r="F154">
        <f>VLOOKUP(A154,Country_WorkingSheet!$A$1:$D$202,2,FALSE)</f>
        <v>84</v>
      </c>
    </row>
    <row r="155" spans="1:6" x14ac:dyDescent="0.25">
      <c r="A155" t="s">
        <v>671</v>
      </c>
      <c r="B155" t="s">
        <v>702</v>
      </c>
      <c r="C155" t="s">
        <v>703</v>
      </c>
      <c r="D155" t="s">
        <v>412</v>
      </c>
      <c r="F155">
        <f>VLOOKUP(A155,Country_WorkingSheet!$A$1:$D$202,2,FALSE)</f>
        <v>84</v>
      </c>
    </row>
    <row r="156" spans="1:6" x14ac:dyDescent="0.25">
      <c r="A156" t="s">
        <v>671</v>
      </c>
      <c r="B156" t="s">
        <v>704</v>
      </c>
      <c r="C156" t="s">
        <v>705</v>
      </c>
      <c r="D156" t="s">
        <v>412</v>
      </c>
      <c r="F156">
        <f>VLOOKUP(A156,Country_WorkingSheet!$A$1:$D$202,2,FALSE)</f>
        <v>84</v>
      </c>
    </row>
    <row r="157" spans="1:6" x14ac:dyDescent="0.25">
      <c r="A157" t="s">
        <v>671</v>
      </c>
      <c r="B157" t="s">
        <v>706</v>
      </c>
      <c r="C157" t="s">
        <v>707</v>
      </c>
      <c r="D157" t="s">
        <v>412</v>
      </c>
      <c r="F157">
        <f>VLOOKUP(A157,Country_WorkingSheet!$A$1:$D$202,2,FALSE)</f>
        <v>84</v>
      </c>
    </row>
    <row r="158" spans="1:6" x14ac:dyDescent="0.25">
      <c r="A158" t="s">
        <v>671</v>
      </c>
      <c r="B158" t="s">
        <v>708</v>
      </c>
      <c r="C158" t="s">
        <v>709</v>
      </c>
      <c r="D158" t="s">
        <v>412</v>
      </c>
      <c r="F158">
        <f>VLOOKUP(A158,Country_WorkingSheet!$A$1:$D$202,2,FALSE)</f>
        <v>84</v>
      </c>
    </row>
    <row r="159" spans="1:6" x14ac:dyDescent="0.25">
      <c r="A159" t="s">
        <v>671</v>
      </c>
      <c r="B159" t="s">
        <v>710</v>
      </c>
      <c r="C159" t="s">
        <v>711</v>
      </c>
      <c r="D159" t="s">
        <v>412</v>
      </c>
      <c r="F159">
        <f>VLOOKUP(A159,Country_WorkingSheet!$A$1:$D$202,2,FALSE)</f>
        <v>84</v>
      </c>
    </row>
    <row r="160" spans="1:6" x14ac:dyDescent="0.25">
      <c r="A160" t="s">
        <v>671</v>
      </c>
      <c r="B160" t="s">
        <v>712</v>
      </c>
      <c r="C160" t="s">
        <v>713</v>
      </c>
      <c r="D160" t="s">
        <v>412</v>
      </c>
      <c r="F160">
        <f>VLOOKUP(A160,Country_WorkingSheet!$A$1:$D$202,2,FALSE)</f>
        <v>84</v>
      </c>
    </row>
    <row r="161" spans="1:6" x14ac:dyDescent="0.25">
      <c r="A161" t="s">
        <v>671</v>
      </c>
      <c r="B161" t="s">
        <v>714</v>
      </c>
      <c r="C161" t="s">
        <v>715</v>
      </c>
      <c r="D161" t="s">
        <v>412</v>
      </c>
      <c r="F161">
        <f>VLOOKUP(A161,Country_WorkingSheet!$A$1:$D$202,2,FALSE)</f>
        <v>84</v>
      </c>
    </row>
    <row r="162" spans="1:6" x14ac:dyDescent="0.25">
      <c r="A162" t="s">
        <v>671</v>
      </c>
      <c r="B162" t="s">
        <v>716</v>
      </c>
      <c r="C162" t="s">
        <v>717</v>
      </c>
      <c r="D162" t="s">
        <v>412</v>
      </c>
      <c r="F162">
        <f>VLOOKUP(A162,Country_WorkingSheet!$A$1:$D$202,2,FALSE)</f>
        <v>84</v>
      </c>
    </row>
    <row r="163" spans="1:6" x14ac:dyDescent="0.25">
      <c r="A163" t="s">
        <v>671</v>
      </c>
      <c r="B163" t="s">
        <v>718</v>
      </c>
      <c r="C163" t="s">
        <v>719</v>
      </c>
      <c r="D163" t="s">
        <v>412</v>
      </c>
      <c r="F163">
        <f>VLOOKUP(A163,Country_WorkingSheet!$A$1:$D$202,2,FALSE)</f>
        <v>84</v>
      </c>
    </row>
    <row r="164" spans="1:6" x14ac:dyDescent="0.25">
      <c r="A164" t="s">
        <v>671</v>
      </c>
      <c r="B164" t="s">
        <v>720</v>
      </c>
      <c r="C164" t="s">
        <v>721</v>
      </c>
      <c r="D164" t="s">
        <v>412</v>
      </c>
      <c r="F164">
        <f>VLOOKUP(A164,Country_WorkingSheet!$A$1:$D$202,2,FALSE)</f>
        <v>84</v>
      </c>
    </row>
    <row r="165" spans="1:6" x14ac:dyDescent="0.25">
      <c r="A165" t="s">
        <v>671</v>
      </c>
      <c r="B165" t="s">
        <v>722</v>
      </c>
      <c r="C165" t="s">
        <v>723</v>
      </c>
      <c r="D165" t="s">
        <v>412</v>
      </c>
      <c r="F165">
        <f>VLOOKUP(A165,Country_WorkingSheet!$A$1:$D$202,2,FALSE)</f>
        <v>84</v>
      </c>
    </row>
    <row r="166" spans="1:6" x14ac:dyDescent="0.25">
      <c r="A166" t="s">
        <v>671</v>
      </c>
      <c r="B166" t="s">
        <v>724</v>
      </c>
      <c r="C166" t="s">
        <v>725</v>
      </c>
      <c r="D166" t="s">
        <v>412</v>
      </c>
      <c r="F166">
        <f>VLOOKUP(A166,Country_WorkingSheet!$A$1:$D$202,2,FALSE)</f>
        <v>84</v>
      </c>
    </row>
    <row r="167" spans="1:6" x14ac:dyDescent="0.25">
      <c r="A167" t="s">
        <v>671</v>
      </c>
      <c r="B167" t="s">
        <v>726</v>
      </c>
      <c r="C167" t="s">
        <v>727</v>
      </c>
      <c r="D167" t="s">
        <v>412</v>
      </c>
      <c r="F167">
        <f>VLOOKUP(A167,Country_WorkingSheet!$A$1:$D$202,2,FALSE)</f>
        <v>84</v>
      </c>
    </row>
    <row r="168" spans="1:6" x14ac:dyDescent="0.25">
      <c r="A168" t="s">
        <v>671</v>
      </c>
      <c r="B168" t="s">
        <v>728</v>
      </c>
      <c r="C168" t="s">
        <v>729</v>
      </c>
      <c r="D168" t="s">
        <v>412</v>
      </c>
      <c r="F168">
        <f>VLOOKUP(A168,Country_WorkingSheet!$A$1:$D$202,2,FALSE)</f>
        <v>84</v>
      </c>
    </row>
    <row r="169" spans="1:6" x14ac:dyDescent="0.25">
      <c r="A169" t="s">
        <v>671</v>
      </c>
      <c r="B169" t="s">
        <v>730</v>
      </c>
      <c r="C169" t="s">
        <v>731</v>
      </c>
      <c r="D169" t="s">
        <v>412</v>
      </c>
      <c r="F169">
        <f>VLOOKUP(A169,Country_WorkingSheet!$A$1:$D$202,2,FALSE)</f>
        <v>84</v>
      </c>
    </row>
    <row r="170" spans="1:6" x14ac:dyDescent="0.25">
      <c r="A170" t="s">
        <v>671</v>
      </c>
      <c r="B170" t="s">
        <v>732</v>
      </c>
      <c r="C170" t="s">
        <v>733</v>
      </c>
      <c r="D170" t="s">
        <v>412</v>
      </c>
      <c r="F170">
        <f>VLOOKUP(A170,Country_WorkingSheet!$A$1:$D$202,2,FALSE)</f>
        <v>84</v>
      </c>
    </row>
    <row r="171" spans="1:6" x14ac:dyDescent="0.25">
      <c r="A171" t="s">
        <v>671</v>
      </c>
      <c r="B171" t="s">
        <v>734</v>
      </c>
      <c r="C171" t="s">
        <v>735</v>
      </c>
      <c r="D171" t="s">
        <v>412</v>
      </c>
      <c r="F171">
        <f>VLOOKUP(A171,Country_WorkingSheet!$A$1:$D$202,2,FALSE)</f>
        <v>84</v>
      </c>
    </row>
    <row r="172" spans="1:6" x14ac:dyDescent="0.25">
      <c r="A172" t="s">
        <v>671</v>
      </c>
      <c r="B172" t="s">
        <v>736</v>
      </c>
      <c r="C172" t="s">
        <v>737</v>
      </c>
      <c r="D172" t="s">
        <v>412</v>
      </c>
      <c r="F172">
        <f>VLOOKUP(A172,Country_WorkingSheet!$A$1:$D$202,2,FALSE)</f>
        <v>84</v>
      </c>
    </row>
    <row r="173" spans="1:6" x14ac:dyDescent="0.25">
      <c r="A173" t="s">
        <v>671</v>
      </c>
      <c r="B173" t="s">
        <v>738</v>
      </c>
      <c r="C173" t="s">
        <v>739</v>
      </c>
      <c r="D173" t="s">
        <v>412</v>
      </c>
      <c r="F173">
        <f>VLOOKUP(A173,Country_WorkingSheet!$A$1:$D$202,2,FALSE)</f>
        <v>84</v>
      </c>
    </row>
    <row r="174" spans="1:6" x14ac:dyDescent="0.25">
      <c r="A174" t="s">
        <v>740</v>
      </c>
      <c r="B174" t="s">
        <v>741</v>
      </c>
      <c r="C174" t="s">
        <v>11</v>
      </c>
      <c r="D174" t="s">
        <v>412</v>
      </c>
      <c r="F174">
        <f>VLOOKUP(A174,Country_WorkingSheet!$A$1:$D$202,2,FALSE)</f>
        <v>87</v>
      </c>
    </row>
    <row r="175" spans="1:6" x14ac:dyDescent="0.25">
      <c r="A175" t="s">
        <v>740</v>
      </c>
      <c r="B175" t="s">
        <v>742</v>
      </c>
      <c r="C175" t="s">
        <v>1</v>
      </c>
      <c r="D175" t="s">
        <v>412</v>
      </c>
      <c r="F175">
        <f>VLOOKUP(A175,Country_WorkingSheet!$A$1:$D$202,2,FALSE)</f>
        <v>87</v>
      </c>
    </row>
    <row r="176" spans="1:6" x14ac:dyDescent="0.25">
      <c r="A176" t="s">
        <v>740</v>
      </c>
      <c r="B176" t="s">
        <v>743</v>
      </c>
      <c r="C176" t="s">
        <v>744</v>
      </c>
      <c r="D176" t="s">
        <v>412</v>
      </c>
      <c r="F176">
        <f>VLOOKUP(A176,Country_WorkingSheet!$A$1:$D$202,2,FALSE)</f>
        <v>87</v>
      </c>
    </row>
    <row r="177" spans="1:6" x14ac:dyDescent="0.25">
      <c r="A177" t="s">
        <v>740</v>
      </c>
      <c r="B177" t="s">
        <v>745</v>
      </c>
      <c r="C177" t="s">
        <v>7</v>
      </c>
      <c r="D177" t="s">
        <v>412</v>
      </c>
      <c r="F177">
        <f>VLOOKUP(A177,Country_WorkingSheet!$A$1:$D$202,2,FALSE)</f>
        <v>87</v>
      </c>
    </row>
    <row r="178" spans="1:6" x14ac:dyDescent="0.25">
      <c r="A178" t="s">
        <v>740</v>
      </c>
      <c r="B178" t="s">
        <v>746</v>
      </c>
      <c r="C178" t="s">
        <v>13</v>
      </c>
      <c r="D178" t="s">
        <v>412</v>
      </c>
      <c r="F178">
        <f>VLOOKUP(A178,Country_WorkingSheet!$A$1:$D$202,2,FALSE)</f>
        <v>87</v>
      </c>
    </row>
    <row r="179" spans="1:6" x14ac:dyDescent="0.25">
      <c r="A179" t="s">
        <v>740</v>
      </c>
      <c r="B179" t="s">
        <v>747</v>
      </c>
      <c r="C179" t="s">
        <v>465</v>
      </c>
      <c r="D179" t="s">
        <v>412</v>
      </c>
      <c r="F179">
        <f>VLOOKUP(A179,Country_WorkingSheet!$A$1:$D$202,2,FALSE)</f>
        <v>87</v>
      </c>
    </row>
    <row r="180" spans="1:6" x14ac:dyDescent="0.25">
      <c r="A180" t="s">
        <v>740</v>
      </c>
      <c r="B180" t="s">
        <v>748</v>
      </c>
      <c r="C180" t="s">
        <v>21</v>
      </c>
      <c r="D180" t="s">
        <v>412</v>
      </c>
      <c r="F180">
        <f>VLOOKUP(A180,Country_WorkingSheet!$A$1:$D$202,2,FALSE)</f>
        <v>87</v>
      </c>
    </row>
    <row r="181" spans="1:6" x14ac:dyDescent="0.25">
      <c r="A181" t="s">
        <v>740</v>
      </c>
      <c r="B181" t="s">
        <v>749</v>
      </c>
      <c r="C181" t="s">
        <v>750</v>
      </c>
      <c r="D181" t="s">
        <v>412</v>
      </c>
      <c r="F181">
        <f>VLOOKUP(A181,Country_WorkingSheet!$A$1:$D$202,2,FALSE)</f>
        <v>87</v>
      </c>
    </row>
    <row r="182" spans="1:6" x14ac:dyDescent="0.25">
      <c r="A182" t="s">
        <v>740</v>
      </c>
      <c r="B182" t="s">
        <v>751</v>
      </c>
      <c r="C182" t="s">
        <v>45</v>
      </c>
      <c r="D182" t="s">
        <v>412</v>
      </c>
      <c r="F182">
        <f>VLOOKUP(A182,Country_WorkingSheet!$A$1:$D$202,2,FALSE)</f>
        <v>87</v>
      </c>
    </row>
    <row r="183" spans="1:6" x14ac:dyDescent="0.25">
      <c r="A183" t="s">
        <v>740</v>
      </c>
      <c r="B183" t="s">
        <v>752</v>
      </c>
      <c r="C183" t="s">
        <v>41</v>
      </c>
      <c r="D183" t="s">
        <v>412</v>
      </c>
      <c r="F183">
        <f>VLOOKUP(A183,Country_WorkingSheet!$A$1:$D$202,2,FALSE)</f>
        <v>87</v>
      </c>
    </row>
    <row r="184" spans="1:6" x14ac:dyDescent="0.25">
      <c r="A184" t="s">
        <v>740</v>
      </c>
      <c r="B184" t="s">
        <v>753</v>
      </c>
      <c r="C184" t="s">
        <v>754</v>
      </c>
      <c r="D184" t="s">
        <v>412</v>
      </c>
      <c r="F184">
        <f>VLOOKUP(A184,Country_WorkingSheet!$A$1:$D$202,2,FALSE)</f>
        <v>87</v>
      </c>
    </row>
    <row r="185" spans="1:6" x14ac:dyDescent="0.25">
      <c r="A185" t="s">
        <v>740</v>
      </c>
      <c r="B185" t="s">
        <v>755</v>
      </c>
      <c r="C185" t="s">
        <v>53</v>
      </c>
      <c r="D185" t="s">
        <v>412</v>
      </c>
      <c r="F185">
        <f>VLOOKUP(A185,Country_WorkingSheet!$A$1:$D$202,2,FALSE)</f>
        <v>87</v>
      </c>
    </row>
    <row r="186" spans="1:6" x14ac:dyDescent="0.25">
      <c r="A186" t="s">
        <v>740</v>
      </c>
      <c r="B186" t="s">
        <v>756</v>
      </c>
      <c r="C186" t="s">
        <v>55</v>
      </c>
      <c r="D186" t="s">
        <v>412</v>
      </c>
      <c r="F186">
        <f>VLOOKUP(A186,Country_WorkingSheet!$A$1:$D$202,2,FALSE)</f>
        <v>87</v>
      </c>
    </row>
    <row r="187" spans="1:6" x14ac:dyDescent="0.25">
      <c r="A187" t="s">
        <v>740</v>
      </c>
      <c r="B187" t="s">
        <v>757</v>
      </c>
      <c r="C187" t="s">
        <v>59</v>
      </c>
      <c r="D187" t="s">
        <v>412</v>
      </c>
      <c r="F187">
        <f>VLOOKUP(A187,Country_WorkingSheet!$A$1:$D$202,2,FALSE)</f>
        <v>87</v>
      </c>
    </row>
    <row r="188" spans="1:6" x14ac:dyDescent="0.25">
      <c r="A188" t="s">
        <v>740</v>
      </c>
      <c r="B188" t="s">
        <v>758</v>
      </c>
      <c r="C188" t="s">
        <v>43</v>
      </c>
      <c r="D188" t="s">
        <v>412</v>
      </c>
      <c r="F188">
        <f>VLOOKUP(A188,Country_WorkingSheet!$A$1:$D$202,2,FALSE)</f>
        <v>87</v>
      </c>
    </row>
    <row r="189" spans="1:6" x14ac:dyDescent="0.25">
      <c r="A189" t="s">
        <v>740</v>
      </c>
      <c r="B189" t="s">
        <v>759</v>
      </c>
      <c r="C189" t="s">
        <v>35</v>
      </c>
      <c r="D189" t="s">
        <v>412</v>
      </c>
      <c r="F189">
        <f>VLOOKUP(A189,Country_WorkingSheet!$A$1:$D$202,2,FALSE)</f>
        <v>87</v>
      </c>
    </row>
    <row r="190" spans="1:6" x14ac:dyDescent="0.25">
      <c r="A190" t="s">
        <v>740</v>
      </c>
      <c r="B190" t="s">
        <v>760</v>
      </c>
      <c r="C190" t="s">
        <v>25</v>
      </c>
      <c r="D190" t="s">
        <v>412</v>
      </c>
      <c r="F190">
        <f>VLOOKUP(A190,Country_WorkingSheet!$A$1:$D$202,2,FALSE)</f>
        <v>87</v>
      </c>
    </row>
    <row r="191" spans="1:6" x14ac:dyDescent="0.25">
      <c r="A191" t="s">
        <v>740</v>
      </c>
      <c r="B191" t="s">
        <v>761</v>
      </c>
      <c r="C191" t="s">
        <v>49</v>
      </c>
      <c r="D191" t="s">
        <v>412</v>
      </c>
      <c r="F191">
        <f>VLOOKUP(A191,Country_WorkingSheet!$A$1:$D$202,2,FALSE)</f>
        <v>87</v>
      </c>
    </row>
    <row r="192" spans="1:6" x14ac:dyDescent="0.25">
      <c r="A192" t="s">
        <v>740</v>
      </c>
      <c r="B192" t="s">
        <v>762</v>
      </c>
      <c r="C192" t="s">
        <v>65</v>
      </c>
      <c r="D192" t="s">
        <v>412</v>
      </c>
      <c r="F192">
        <f>VLOOKUP(A192,Country_WorkingSheet!$A$1:$D$202,2,FALSE)</f>
        <v>87</v>
      </c>
    </row>
    <row r="193" spans="1:6" x14ac:dyDescent="0.25">
      <c r="A193" t="s">
        <v>740</v>
      </c>
      <c r="B193" t="s">
        <v>763</v>
      </c>
      <c r="C193" t="s">
        <v>73</v>
      </c>
      <c r="D193" t="s">
        <v>412</v>
      </c>
      <c r="F193">
        <f>VLOOKUP(A193,Country_WorkingSheet!$A$1:$D$202,2,FALSE)</f>
        <v>87</v>
      </c>
    </row>
    <row r="194" spans="1:6" x14ac:dyDescent="0.25">
      <c r="A194" t="s">
        <v>740</v>
      </c>
      <c r="B194" t="s">
        <v>764</v>
      </c>
      <c r="C194" t="s">
        <v>765</v>
      </c>
      <c r="D194" t="s">
        <v>412</v>
      </c>
      <c r="F194">
        <f>VLOOKUP(A194,Country_WorkingSheet!$A$1:$D$202,2,FALSE)</f>
        <v>87</v>
      </c>
    </row>
    <row r="195" spans="1:6" x14ac:dyDescent="0.25">
      <c r="A195" t="s">
        <v>740</v>
      </c>
      <c r="B195" t="s">
        <v>766</v>
      </c>
      <c r="C195" t="s">
        <v>89</v>
      </c>
      <c r="D195" t="s">
        <v>412</v>
      </c>
      <c r="F195">
        <f>VLOOKUP(A195,Country_WorkingSheet!$A$1:$D$202,2,FALSE)</f>
        <v>87</v>
      </c>
    </row>
    <row r="196" spans="1:6" x14ac:dyDescent="0.25">
      <c r="A196" t="s">
        <v>740</v>
      </c>
      <c r="B196" t="s">
        <v>767</v>
      </c>
      <c r="C196" t="s">
        <v>469</v>
      </c>
      <c r="D196" t="s">
        <v>412</v>
      </c>
      <c r="F196">
        <f>VLOOKUP(A196,Country_WorkingSheet!$A$1:$D$202,2,FALSE)</f>
        <v>87</v>
      </c>
    </row>
    <row r="197" spans="1:6" x14ac:dyDescent="0.25">
      <c r="A197" t="s">
        <v>740</v>
      </c>
      <c r="B197" t="s">
        <v>768</v>
      </c>
      <c r="C197" t="s">
        <v>769</v>
      </c>
      <c r="D197" t="s">
        <v>412</v>
      </c>
      <c r="F197">
        <f>VLOOKUP(A197,Country_WorkingSheet!$A$1:$D$202,2,FALSE)</f>
        <v>87</v>
      </c>
    </row>
    <row r="198" spans="1:6" x14ac:dyDescent="0.25">
      <c r="A198" t="s">
        <v>740</v>
      </c>
      <c r="B198" t="s">
        <v>770</v>
      </c>
      <c r="C198" t="s">
        <v>95</v>
      </c>
      <c r="D198" t="s">
        <v>412</v>
      </c>
      <c r="F198">
        <f>VLOOKUP(A198,Country_WorkingSheet!$A$1:$D$202,2,FALSE)</f>
        <v>87</v>
      </c>
    </row>
    <row r="199" spans="1:6" x14ac:dyDescent="0.25">
      <c r="A199" t="s">
        <v>740</v>
      </c>
      <c r="B199" t="s">
        <v>771</v>
      </c>
      <c r="C199" t="s">
        <v>351</v>
      </c>
      <c r="D199" t="s">
        <v>412</v>
      </c>
      <c r="F199">
        <f>VLOOKUP(A199,Country_WorkingSheet!$A$1:$D$202,2,FALSE)</f>
        <v>87</v>
      </c>
    </row>
    <row r="200" spans="1:6" x14ac:dyDescent="0.25">
      <c r="A200" t="s">
        <v>740</v>
      </c>
      <c r="B200" t="s">
        <v>772</v>
      </c>
      <c r="C200" t="s">
        <v>77</v>
      </c>
      <c r="D200" t="s">
        <v>412</v>
      </c>
      <c r="F200">
        <f>VLOOKUP(A200,Country_WorkingSheet!$A$1:$D$202,2,FALSE)</f>
        <v>87</v>
      </c>
    </row>
    <row r="201" spans="1:6" x14ac:dyDescent="0.25">
      <c r="A201" t="s">
        <v>740</v>
      </c>
      <c r="B201" t="s">
        <v>773</v>
      </c>
      <c r="C201" t="s">
        <v>774</v>
      </c>
      <c r="D201" t="s">
        <v>412</v>
      </c>
      <c r="F201">
        <f>VLOOKUP(A201,Country_WorkingSheet!$A$1:$D$202,2,FALSE)</f>
        <v>87</v>
      </c>
    </row>
    <row r="202" spans="1:6" x14ac:dyDescent="0.25">
      <c r="A202" t="s">
        <v>740</v>
      </c>
      <c r="B202" t="s">
        <v>775</v>
      </c>
      <c r="C202" t="s">
        <v>87</v>
      </c>
      <c r="D202" t="s">
        <v>412</v>
      </c>
      <c r="F202">
        <f>VLOOKUP(A202,Country_WorkingSheet!$A$1:$D$202,2,FALSE)</f>
        <v>87</v>
      </c>
    </row>
    <row r="203" spans="1:6" x14ac:dyDescent="0.25">
      <c r="A203" t="s">
        <v>740</v>
      </c>
      <c r="B203" t="s">
        <v>776</v>
      </c>
      <c r="C203" t="s">
        <v>327</v>
      </c>
      <c r="D203" t="s">
        <v>412</v>
      </c>
      <c r="F203">
        <f>VLOOKUP(A203,Country_WorkingSheet!$A$1:$D$202,2,FALSE)</f>
        <v>87</v>
      </c>
    </row>
    <row r="204" spans="1:6" x14ac:dyDescent="0.25">
      <c r="A204" t="s">
        <v>740</v>
      </c>
      <c r="B204" t="s">
        <v>777</v>
      </c>
      <c r="C204" t="s">
        <v>778</v>
      </c>
      <c r="D204" t="s">
        <v>412</v>
      </c>
      <c r="F204">
        <f>VLOOKUP(A204,Country_WorkingSheet!$A$1:$D$202,2,FALSE)</f>
        <v>87</v>
      </c>
    </row>
    <row r="205" spans="1:6" x14ac:dyDescent="0.25">
      <c r="A205" t="s">
        <v>740</v>
      </c>
      <c r="B205" t="s">
        <v>779</v>
      </c>
      <c r="C205" t="s">
        <v>780</v>
      </c>
      <c r="D205" t="s">
        <v>412</v>
      </c>
      <c r="F205">
        <f>VLOOKUP(A205,Country_WorkingSheet!$A$1:$D$202,2,FALSE)</f>
        <v>87</v>
      </c>
    </row>
    <row r="206" spans="1:6" x14ac:dyDescent="0.25">
      <c r="A206" t="s">
        <v>740</v>
      </c>
      <c r="B206" t="s">
        <v>781</v>
      </c>
      <c r="C206" t="s">
        <v>229</v>
      </c>
      <c r="D206" t="s">
        <v>412</v>
      </c>
      <c r="F206">
        <f>VLOOKUP(A206,Country_WorkingSheet!$A$1:$D$202,2,FALSE)</f>
        <v>87</v>
      </c>
    </row>
    <row r="207" spans="1:6" x14ac:dyDescent="0.25">
      <c r="A207" t="s">
        <v>740</v>
      </c>
      <c r="B207" t="s">
        <v>782</v>
      </c>
      <c r="C207" t="s">
        <v>783</v>
      </c>
      <c r="D207" t="s">
        <v>412</v>
      </c>
      <c r="F207">
        <f>VLOOKUP(A207,Country_WorkingSheet!$A$1:$D$202,2,FALSE)</f>
        <v>87</v>
      </c>
    </row>
    <row r="208" spans="1:6" x14ac:dyDescent="0.25">
      <c r="A208" t="s">
        <v>740</v>
      </c>
      <c r="B208" t="s">
        <v>784</v>
      </c>
      <c r="C208" t="s">
        <v>123</v>
      </c>
      <c r="D208" t="s">
        <v>412</v>
      </c>
      <c r="F208">
        <f>VLOOKUP(A208,Country_WorkingSheet!$A$1:$D$202,2,FALSE)</f>
        <v>87</v>
      </c>
    </row>
    <row r="209" spans="1:6" x14ac:dyDescent="0.25">
      <c r="A209" t="s">
        <v>740</v>
      </c>
      <c r="B209" t="s">
        <v>785</v>
      </c>
      <c r="C209" t="s">
        <v>786</v>
      </c>
      <c r="D209" t="s">
        <v>412</v>
      </c>
      <c r="F209">
        <f>VLOOKUP(A209,Country_WorkingSheet!$A$1:$D$202,2,FALSE)</f>
        <v>87</v>
      </c>
    </row>
    <row r="210" spans="1:6" x14ac:dyDescent="0.25">
      <c r="A210" t="s">
        <v>740</v>
      </c>
      <c r="B210" t="s">
        <v>787</v>
      </c>
      <c r="C210" t="s">
        <v>788</v>
      </c>
      <c r="D210" t="s">
        <v>412</v>
      </c>
      <c r="F210">
        <f>VLOOKUP(A210,Country_WorkingSheet!$A$1:$D$202,2,FALSE)</f>
        <v>87</v>
      </c>
    </row>
    <row r="211" spans="1:6" x14ac:dyDescent="0.25">
      <c r="A211" t="s">
        <v>740</v>
      </c>
      <c r="B211" t="s">
        <v>789</v>
      </c>
      <c r="C211" t="s">
        <v>125</v>
      </c>
      <c r="D211" t="s">
        <v>412</v>
      </c>
      <c r="F211">
        <f>VLOOKUP(A211,Country_WorkingSheet!$A$1:$D$202,2,FALSE)</f>
        <v>87</v>
      </c>
    </row>
    <row r="212" spans="1:6" x14ac:dyDescent="0.25">
      <c r="A212" t="s">
        <v>740</v>
      </c>
      <c r="B212" t="s">
        <v>790</v>
      </c>
      <c r="C212" t="s">
        <v>135</v>
      </c>
      <c r="D212" t="s">
        <v>412</v>
      </c>
      <c r="F212">
        <f>VLOOKUP(A212,Country_WorkingSheet!$A$1:$D$202,2,FALSE)</f>
        <v>87</v>
      </c>
    </row>
    <row r="213" spans="1:6" x14ac:dyDescent="0.25">
      <c r="A213" t="s">
        <v>740</v>
      </c>
      <c r="B213" t="s">
        <v>791</v>
      </c>
      <c r="C213" t="s">
        <v>474</v>
      </c>
      <c r="D213" t="s">
        <v>412</v>
      </c>
      <c r="F213">
        <f>VLOOKUP(A213,Country_WorkingSheet!$A$1:$D$202,2,FALSE)</f>
        <v>87</v>
      </c>
    </row>
    <row r="214" spans="1:6" x14ac:dyDescent="0.25">
      <c r="A214" t="s">
        <v>740</v>
      </c>
      <c r="B214" t="s">
        <v>792</v>
      </c>
      <c r="C214" t="s">
        <v>141</v>
      </c>
      <c r="D214" t="s">
        <v>412</v>
      </c>
      <c r="F214">
        <f>VLOOKUP(A214,Country_WorkingSheet!$A$1:$D$202,2,FALSE)</f>
        <v>87</v>
      </c>
    </row>
    <row r="215" spans="1:6" x14ac:dyDescent="0.25">
      <c r="A215" t="s">
        <v>740</v>
      </c>
      <c r="B215" t="s">
        <v>793</v>
      </c>
      <c r="C215" t="s">
        <v>794</v>
      </c>
      <c r="D215" t="s">
        <v>412</v>
      </c>
      <c r="F215">
        <f>VLOOKUP(A215,Country_WorkingSheet!$A$1:$D$202,2,FALSE)</f>
        <v>87</v>
      </c>
    </row>
    <row r="216" spans="1:6" x14ac:dyDescent="0.25">
      <c r="A216" t="s">
        <v>740</v>
      </c>
      <c r="B216" t="s">
        <v>795</v>
      </c>
      <c r="C216" t="s">
        <v>163</v>
      </c>
      <c r="D216" t="s">
        <v>412</v>
      </c>
      <c r="F216">
        <f>VLOOKUP(A216,Country_WorkingSheet!$A$1:$D$202,2,FALSE)</f>
        <v>87</v>
      </c>
    </row>
    <row r="217" spans="1:6" x14ac:dyDescent="0.25">
      <c r="A217" t="s">
        <v>740</v>
      </c>
      <c r="B217" t="s">
        <v>796</v>
      </c>
      <c r="C217" t="s">
        <v>797</v>
      </c>
      <c r="D217" t="s">
        <v>412</v>
      </c>
      <c r="F217">
        <f>VLOOKUP(A217,Country_WorkingSheet!$A$1:$D$202,2,FALSE)</f>
        <v>87</v>
      </c>
    </row>
    <row r="218" spans="1:6" x14ac:dyDescent="0.25">
      <c r="A218" t="s">
        <v>740</v>
      </c>
      <c r="B218" t="s">
        <v>798</v>
      </c>
      <c r="C218" t="s">
        <v>498</v>
      </c>
      <c r="D218" t="s">
        <v>412</v>
      </c>
      <c r="F218">
        <f>VLOOKUP(A218,Country_WorkingSheet!$A$1:$D$202,2,FALSE)</f>
        <v>87</v>
      </c>
    </row>
    <row r="219" spans="1:6" x14ac:dyDescent="0.25">
      <c r="A219" t="s">
        <v>740</v>
      </c>
      <c r="B219" t="s">
        <v>799</v>
      </c>
      <c r="C219" t="s">
        <v>199</v>
      </c>
      <c r="D219" t="s">
        <v>412</v>
      </c>
      <c r="F219">
        <f>VLOOKUP(A219,Country_WorkingSheet!$A$1:$D$202,2,FALSE)</f>
        <v>87</v>
      </c>
    </row>
    <row r="220" spans="1:6" x14ac:dyDescent="0.25">
      <c r="A220" t="s">
        <v>740</v>
      </c>
      <c r="B220" t="s">
        <v>800</v>
      </c>
      <c r="C220" t="s">
        <v>801</v>
      </c>
      <c r="D220" t="s">
        <v>412</v>
      </c>
      <c r="F220">
        <f>VLOOKUP(A220,Country_WorkingSheet!$A$1:$D$202,2,FALSE)</f>
        <v>87</v>
      </c>
    </row>
    <row r="221" spans="1:6" x14ac:dyDescent="0.25">
      <c r="A221" t="s">
        <v>740</v>
      </c>
      <c r="B221" t="s">
        <v>802</v>
      </c>
      <c r="C221" t="s">
        <v>337</v>
      </c>
      <c r="D221" t="s">
        <v>412</v>
      </c>
      <c r="F221">
        <f>VLOOKUP(A221,Country_WorkingSheet!$A$1:$D$202,2,FALSE)</f>
        <v>87</v>
      </c>
    </row>
    <row r="222" spans="1:6" x14ac:dyDescent="0.25">
      <c r="A222" t="s">
        <v>740</v>
      </c>
      <c r="B222" t="s">
        <v>803</v>
      </c>
      <c r="C222" t="s">
        <v>197</v>
      </c>
      <c r="D222" t="s">
        <v>412</v>
      </c>
      <c r="F222">
        <f>VLOOKUP(A222,Country_WorkingSheet!$A$1:$D$202,2,FALSE)</f>
        <v>87</v>
      </c>
    </row>
    <row r="223" spans="1:6" x14ac:dyDescent="0.25">
      <c r="A223" t="s">
        <v>740</v>
      </c>
      <c r="B223" t="s">
        <v>804</v>
      </c>
      <c r="C223" t="s">
        <v>805</v>
      </c>
      <c r="D223" t="s">
        <v>412</v>
      </c>
      <c r="F223">
        <f>VLOOKUP(A223,Country_WorkingSheet!$A$1:$D$202,2,FALSE)</f>
        <v>87</v>
      </c>
    </row>
    <row r="224" spans="1:6" x14ac:dyDescent="0.25">
      <c r="A224" t="s">
        <v>740</v>
      </c>
      <c r="B224" t="s">
        <v>806</v>
      </c>
      <c r="C224" t="s">
        <v>201</v>
      </c>
      <c r="D224" t="s">
        <v>412</v>
      </c>
      <c r="F224">
        <f>VLOOKUP(A224,Country_WorkingSheet!$A$1:$D$202,2,FALSE)</f>
        <v>87</v>
      </c>
    </row>
    <row r="225" spans="1:6" x14ac:dyDescent="0.25">
      <c r="A225" t="s">
        <v>740</v>
      </c>
      <c r="B225" t="s">
        <v>807</v>
      </c>
      <c r="C225" t="s">
        <v>233</v>
      </c>
      <c r="D225" t="s">
        <v>412</v>
      </c>
      <c r="F225">
        <f>VLOOKUP(A225,Country_WorkingSheet!$A$1:$D$202,2,FALSE)</f>
        <v>87</v>
      </c>
    </row>
    <row r="226" spans="1:6" x14ac:dyDescent="0.25">
      <c r="A226" t="s">
        <v>740</v>
      </c>
      <c r="B226" t="s">
        <v>808</v>
      </c>
      <c r="C226" t="s">
        <v>235</v>
      </c>
      <c r="D226" t="s">
        <v>412</v>
      </c>
      <c r="F226">
        <f>VLOOKUP(A226,Country_WorkingSheet!$A$1:$D$202,2,FALSE)</f>
        <v>87</v>
      </c>
    </row>
    <row r="227" spans="1:6" x14ac:dyDescent="0.25">
      <c r="A227" t="s">
        <v>740</v>
      </c>
      <c r="B227" t="s">
        <v>809</v>
      </c>
      <c r="C227" t="s">
        <v>239</v>
      </c>
      <c r="D227" t="s">
        <v>412</v>
      </c>
      <c r="F227">
        <f>VLOOKUP(A227,Country_WorkingSheet!$A$1:$D$202,2,FALSE)</f>
        <v>87</v>
      </c>
    </row>
    <row r="228" spans="1:6" x14ac:dyDescent="0.25">
      <c r="A228" t="s">
        <v>740</v>
      </c>
      <c r="B228" t="s">
        <v>810</v>
      </c>
      <c r="C228" t="s">
        <v>215</v>
      </c>
      <c r="D228" t="s">
        <v>412</v>
      </c>
      <c r="F228">
        <f>VLOOKUP(A228,Country_WorkingSheet!$A$1:$D$202,2,FALSE)</f>
        <v>87</v>
      </c>
    </row>
    <row r="229" spans="1:6" x14ac:dyDescent="0.25">
      <c r="A229" t="s">
        <v>740</v>
      </c>
      <c r="B229" t="s">
        <v>811</v>
      </c>
      <c r="C229" t="s">
        <v>812</v>
      </c>
      <c r="D229" t="s">
        <v>412</v>
      </c>
      <c r="F229">
        <f>VLOOKUP(A229,Country_WorkingSheet!$A$1:$D$202,2,FALSE)</f>
        <v>87</v>
      </c>
    </row>
    <row r="230" spans="1:6" x14ac:dyDescent="0.25">
      <c r="A230" t="s">
        <v>740</v>
      </c>
      <c r="B230" t="s">
        <v>813</v>
      </c>
      <c r="C230" t="s">
        <v>237</v>
      </c>
      <c r="D230" t="s">
        <v>412</v>
      </c>
      <c r="F230">
        <f>VLOOKUP(A230,Country_WorkingSheet!$A$1:$D$202,2,FALSE)</f>
        <v>87</v>
      </c>
    </row>
    <row r="231" spans="1:6" x14ac:dyDescent="0.25">
      <c r="A231" t="s">
        <v>740</v>
      </c>
      <c r="B231" t="s">
        <v>814</v>
      </c>
      <c r="C231" t="s">
        <v>815</v>
      </c>
      <c r="D231" t="s">
        <v>412</v>
      </c>
      <c r="F231">
        <f>VLOOKUP(A231,Country_WorkingSheet!$A$1:$D$202,2,FALSE)</f>
        <v>87</v>
      </c>
    </row>
    <row r="232" spans="1:6" x14ac:dyDescent="0.25">
      <c r="A232" t="s">
        <v>740</v>
      </c>
      <c r="B232" t="s">
        <v>816</v>
      </c>
      <c r="C232" t="s">
        <v>817</v>
      </c>
      <c r="D232" t="s">
        <v>412</v>
      </c>
      <c r="F232">
        <f>VLOOKUP(A232,Country_WorkingSheet!$A$1:$D$202,2,FALSE)</f>
        <v>87</v>
      </c>
    </row>
    <row r="233" spans="1:6" x14ac:dyDescent="0.25">
      <c r="A233" t="s">
        <v>740</v>
      </c>
      <c r="B233" t="s">
        <v>818</v>
      </c>
      <c r="C233" t="s">
        <v>506</v>
      </c>
      <c r="D233" t="s">
        <v>412</v>
      </c>
      <c r="F233">
        <f>VLOOKUP(A233,Country_WorkingSheet!$A$1:$D$202,2,FALSE)</f>
        <v>87</v>
      </c>
    </row>
    <row r="234" spans="1:6" x14ac:dyDescent="0.25">
      <c r="A234" t="s">
        <v>740</v>
      </c>
      <c r="B234" t="s">
        <v>819</v>
      </c>
      <c r="C234" t="s">
        <v>245</v>
      </c>
      <c r="D234" t="s">
        <v>412</v>
      </c>
      <c r="F234">
        <f>VLOOKUP(A234,Country_WorkingSheet!$A$1:$D$202,2,FALSE)</f>
        <v>87</v>
      </c>
    </row>
    <row r="235" spans="1:6" x14ac:dyDescent="0.25">
      <c r="A235" t="s">
        <v>740</v>
      </c>
      <c r="B235" t="s">
        <v>820</v>
      </c>
      <c r="C235" t="s">
        <v>267</v>
      </c>
      <c r="D235" t="s">
        <v>412</v>
      </c>
      <c r="F235">
        <f>VLOOKUP(A235,Country_WorkingSheet!$A$1:$D$202,2,FALSE)</f>
        <v>87</v>
      </c>
    </row>
    <row r="236" spans="1:6" x14ac:dyDescent="0.25">
      <c r="A236" t="s">
        <v>740</v>
      </c>
      <c r="B236" t="s">
        <v>821</v>
      </c>
      <c r="C236" t="s">
        <v>263</v>
      </c>
      <c r="D236" t="s">
        <v>412</v>
      </c>
      <c r="F236">
        <f>VLOOKUP(A236,Country_WorkingSheet!$A$1:$D$202,2,FALSE)</f>
        <v>87</v>
      </c>
    </row>
    <row r="237" spans="1:6" x14ac:dyDescent="0.25">
      <c r="A237" t="s">
        <v>740</v>
      </c>
      <c r="B237" t="s">
        <v>822</v>
      </c>
      <c r="C237" t="s">
        <v>823</v>
      </c>
      <c r="D237" t="s">
        <v>412</v>
      </c>
      <c r="F237">
        <f>VLOOKUP(A237,Country_WorkingSheet!$A$1:$D$202,2,FALSE)</f>
        <v>87</v>
      </c>
    </row>
    <row r="238" spans="1:6" x14ac:dyDescent="0.25">
      <c r="A238" t="s">
        <v>740</v>
      </c>
      <c r="B238" t="s">
        <v>824</v>
      </c>
      <c r="C238" t="s">
        <v>825</v>
      </c>
      <c r="D238" t="s">
        <v>412</v>
      </c>
      <c r="F238">
        <f>VLOOKUP(A238,Country_WorkingSheet!$A$1:$D$202,2,FALSE)</f>
        <v>87</v>
      </c>
    </row>
    <row r="239" spans="1:6" x14ac:dyDescent="0.25">
      <c r="A239" t="s">
        <v>740</v>
      </c>
      <c r="B239" t="s">
        <v>826</v>
      </c>
      <c r="C239" t="s">
        <v>827</v>
      </c>
      <c r="D239" t="s">
        <v>412</v>
      </c>
      <c r="F239">
        <f>VLOOKUP(A239,Country_WorkingSheet!$A$1:$D$202,2,FALSE)</f>
        <v>87</v>
      </c>
    </row>
    <row r="240" spans="1:6" x14ac:dyDescent="0.25">
      <c r="A240" t="s">
        <v>740</v>
      </c>
      <c r="B240" t="s">
        <v>828</v>
      </c>
      <c r="C240" t="s">
        <v>829</v>
      </c>
      <c r="D240" t="s">
        <v>412</v>
      </c>
      <c r="F240">
        <f>VLOOKUP(A240,Country_WorkingSheet!$A$1:$D$202,2,FALSE)</f>
        <v>87</v>
      </c>
    </row>
    <row r="241" spans="1:6" x14ac:dyDescent="0.25">
      <c r="A241" t="s">
        <v>740</v>
      </c>
      <c r="B241" t="s">
        <v>830</v>
      </c>
      <c r="C241" t="s">
        <v>273</v>
      </c>
      <c r="D241" t="s">
        <v>412</v>
      </c>
      <c r="F241">
        <f>VLOOKUP(A241,Country_WorkingSheet!$A$1:$D$202,2,FALSE)</f>
        <v>87</v>
      </c>
    </row>
    <row r="242" spans="1:6" x14ac:dyDescent="0.25">
      <c r="A242" t="s">
        <v>740</v>
      </c>
      <c r="B242" t="s">
        <v>831</v>
      </c>
      <c r="C242" t="s">
        <v>480</v>
      </c>
      <c r="D242" t="s">
        <v>412</v>
      </c>
      <c r="F242">
        <f>VLOOKUP(A242,Country_WorkingSheet!$A$1:$D$202,2,FALSE)</f>
        <v>87</v>
      </c>
    </row>
    <row r="243" spans="1:6" x14ac:dyDescent="0.25">
      <c r="A243" t="s">
        <v>740</v>
      </c>
      <c r="B243" t="s">
        <v>832</v>
      </c>
      <c r="C243" t="s">
        <v>833</v>
      </c>
      <c r="D243" t="s">
        <v>412</v>
      </c>
      <c r="F243">
        <f>VLOOKUP(A243,Country_WorkingSheet!$A$1:$D$202,2,FALSE)</f>
        <v>87</v>
      </c>
    </row>
    <row r="244" spans="1:6" x14ac:dyDescent="0.25">
      <c r="A244" t="s">
        <v>740</v>
      </c>
      <c r="B244" t="s">
        <v>834</v>
      </c>
      <c r="C244" t="s">
        <v>275</v>
      </c>
      <c r="D244" t="s">
        <v>412</v>
      </c>
      <c r="F244">
        <f>VLOOKUP(A244,Country_WorkingSheet!$A$1:$D$202,2,FALSE)</f>
        <v>87</v>
      </c>
    </row>
    <row r="245" spans="1:6" x14ac:dyDescent="0.25">
      <c r="A245" t="s">
        <v>740</v>
      </c>
      <c r="B245" t="s">
        <v>835</v>
      </c>
      <c r="C245" t="s">
        <v>836</v>
      </c>
      <c r="D245" t="s">
        <v>412</v>
      </c>
      <c r="F245">
        <f>VLOOKUP(A245,Country_WorkingSheet!$A$1:$D$202,2,FALSE)</f>
        <v>87</v>
      </c>
    </row>
    <row r="246" spans="1:6" x14ac:dyDescent="0.25">
      <c r="A246" t="s">
        <v>740</v>
      </c>
      <c r="B246" t="s">
        <v>837</v>
      </c>
      <c r="C246" t="s">
        <v>279</v>
      </c>
      <c r="D246" t="s">
        <v>412</v>
      </c>
      <c r="F246">
        <f>VLOOKUP(A246,Country_WorkingSheet!$A$1:$D$202,2,FALSE)</f>
        <v>87</v>
      </c>
    </row>
    <row r="247" spans="1:6" x14ac:dyDescent="0.25">
      <c r="A247" t="s">
        <v>740</v>
      </c>
      <c r="B247" t="s">
        <v>838</v>
      </c>
      <c r="C247" t="s">
        <v>839</v>
      </c>
      <c r="D247" t="s">
        <v>412</v>
      </c>
      <c r="F247">
        <f>VLOOKUP(A247,Country_WorkingSheet!$A$1:$D$202,2,FALSE)</f>
        <v>87</v>
      </c>
    </row>
    <row r="248" spans="1:6" x14ac:dyDescent="0.25">
      <c r="A248" t="s">
        <v>740</v>
      </c>
      <c r="B248" t="s">
        <v>840</v>
      </c>
      <c r="C248" t="s">
        <v>486</v>
      </c>
      <c r="D248" t="s">
        <v>412</v>
      </c>
      <c r="F248">
        <f>VLOOKUP(A248,Country_WorkingSheet!$A$1:$D$202,2,FALSE)</f>
        <v>87</v>
      </c>
    </row>
    <row r="249" spans="1:6" x14ac:dyDescent="0.25">
      <c r="A249" t="s">
        <v>740</v>
      </c>
      <c r="B249" t="s">
        <v>841</v>
      </c>
      <c r="C249" t="s">
        <v>287</v>
      </c>
      <c r="D249" t="s">
        <v>412</v>
      </c>
      <c r="F249">
        <f>VLOOKUP(A249,Country_WorkingSheet!$A$1:$D$202,2,FALSE)</f>
        <v>87</v>
      </c>
    </row>
    <row r="250" spans="1:6" x14ac:dyDescent="0.25">
      <c r="A250" t="s">
        <v>740</v>
      </c>
      <c r="B250" t="s">
        <v>842</v>
      </c>
      <c r="C250" t="s">
        <v>283</v>
      </c>
      <c r="D250" t="s">
        <v>412</v>
      </c>
      <c r="F250">
        <f>VLOOKUP(A250,Country_WorkingSheet!$A$1:$D$202,2,FALSE)</f>
        <v>87</v>
      </c>
    </row>
    <row r="251" spans="1:6" x14ac:dyDescent="0.25">
      <c r="A251" t="s">
        <v>740</v>
      </c>
      <c r="B251" t="s">
        <v>843</v>
      </c>
      <c r="C251" t="s">
        <v>844</v>
      </c>
      <c r="D251" t="s">
        <v>412</v>
      </c>
      <c r="F251">
        <f>VLOOKUP(A251,Country_WorkingSheet!$A$1:$D$202,2,FALSE)</f>
        <v>87</v>
      </c>
    </row>
    <row r="252" spans="1:6" x14ac:dyDescent="0.25">
      <c r="A252" t="s">
        <v>740</v>
      </c>
      <c r="B252" t="s">
        <v>845</v>
      </c>
      <c r="C252" t="s">
        <v>846</v>
      </c>
      <c r="D252" t="s">
        <v>412</v>
      </c>
      <c r="F252">
        <f>VLOOKUP(A252,Country_WorkingSheet!$A$1:$D$202,2,FALSE)</f>
        <v>87</v>
      </c>
    </row>
    <row r="253" spans="1:6" x14ac:dyDescent="0.25">
      <c r="A253" t="s">
        <v>740</v>
      </c>
      <c r="B253" t="s">
        <v>847</v>
      </c>
      <c r="C253" t="s">
        <v>848</v>
      </c>
      <c r="D253" t="s">
        <v>412</v>
      </c>
      <c r="F253">
        <f>VLOOKUP(A253,Country_WorkingSheet!$A$1:$D$202,2,FALSE)</f>
        <v>87</v>
      </c>
    </row>
    <row r="254" spans="1:6" x14ac:dyDescent="0.25">
      <c r="A254" t="s">
        <v>740</v>
      </c>
      <c r="B254" t="s">
        <v>849</v>
      </c>
      <c r="C254" t="s">
        <v>850</v>
      </c>
      <c r="D254" t="s">
        <v>412</v>
      </c>
      <c r="F254">
        <f>VLOOKUP(A254,Country_WorkingSheet!$A$1:$D$202,2,FALSE)</f>
        <v>87</v>
      </c>
    </row>
    <row r="255" spans="1:6" x14ac:dyDescent="0.25">
      <c r="A255" t="s">
        <v>740</v>
      </c>
      <c r="B255" t="s">
        <v>851</v>
      </c>
      <c r="C255" t="s">
        <v>852</v>
      </c>
      <c r="D255" t="s">
        <v>412</v>
      </c>
      <c r="F255">
        <f>VLOOKUP(A255,Country_WorkingSheet!$A$1:$D$202,2,FALSE)</f>
        <v>87</v>
      </c>
    </row>
    <row r="256" spans="1:6" x14ac:dyDescent="0.25">
      <c r="A256" t="s">
        <v>740</v>
      </c>
      <c r="B256" t="s">
        <v>853</v>
      </c>
      <c r="C256" t="s">
        <v>291</v>
      </c>
      <c r="D256" t="s">
        <v>412</v>
      </c>
      <c r="F256">
        <f>VLOOKUP(A256,Country_WorkingSheet!$A$1:$D$202,2,FALSE)</f>
        <v>87</v>
      </c>
    </row>
    <row r="257" spans="1:6" x14ac:dyDescent="0.25">
      <c r="A257" t="s">
        <v>740</v>
      </c>
      <c r="B257" t="s">
        <v>854</v>
      </c>
      <c r="C257" t="s">
        <v>855</v>
      </c>
      <c r="D257" t="s">
        <v>412</v>
      </c>
      <c r="F257">
        <f>VLOOKUP(A257,Country_WorkingSheet!$A$1:$D$202,2,FALSE)</f>
        <v>87</v>
      </c>
    </row>
    <row r="258" spans="1:6" x14ac:dyDescent="0.25">
      <c r="A258" t="s">
        <v>740</v>
      </c>
      <c r="B258" t="s">
        <v>856</v>
      </c>
      <c r="C258" t="s">
        <v>488</v>
      </c>
      <c r="D258" t="s">
        <v>412</v>
      </c>
      <c r="F258">
        <f>VLOOKUP(A258,Country_WorkingSheet!$A$1:$D$202,2,FALSE)</f>
        <v>87</v>
      </c>
    </row>
    <row r="259" spans="1:6" x14ac:dyDescent="0.25">
      <c r="A259" t="s">
        <v>740</v>
      </c>
      <c r="B259" t="s">
        <v>857</v>
      </c>
      <c r="C259" t="s">
        <v>858</v>
      </c>
      <c r="D259" t="s">
        <v>412</v>
      </c>
      <c r="F259">
        <f>VLOOKUP(A259,Country_WorkingSheet!$A$1:$D$202,2,FALSE)</f>
        <v>87</v>
      </c>
    </row>
    <row r="260" spans="1:6" x14ac:dyDescent="0.25">
      <c r="A260" t="s">
        <v>740</v>
      </c>
      <c r="B260" t="s">
        <v>859</v>
      </c>
      <c r="C260" t="s">
        <v>293</v>
      </c>
      <c r="D260" t="s">
        <v>412</v>
      </c>
      <c r="F260">
        <f>VLOOKUP(A260,Country_WorkingSheet!$A$1:$D$202,2,FALSE)</f>
        <v>87</v>
      </c>
    </row>
    <row r="261" spans="1:6" x14ac:dyDescent="0.25">
      <c r="A261" t="s">
        <v>740</v>
      </c>
      <c r="B261" t="s">
        <v>860</v>
      </c>
      <c r="C261" t="s">
        <v>305</v>
      </c>
      <c r="D261" t="s">
        <v>412</v>
      </c>
      <c r="F261">
        <f>VLOOKUP(A261,Country_WorkingSheet!$A$1:$D$202,2,FALSE)</f>
        <v>87</v>
      </c>
    </row>
    <row r="262" spans="1:6" x14ac:dyDescent="0.25">
      <c r="A262" t="s">
        <v>740</v>
      </c>
      <c r="B262" t="s">
        <v>861</v>
      </c>
      <c r="C262" t="s">
        <v>862</v>
      </c>
      <c r="D262" t="s">
        <v>412</v>
      </c>
      <c r="F262">
        <f>VLOOKUP(A262,Country_WorkingSheet!$A$1:$D$202,2,FALSE)</f>
        <v>87</v>
      </c>
    </row>
    <row r="263" spans="1:6" x14ac:dyDescent="0.25">
      <c r="A263" t="s">
        <v>740</v>
      </c>
      <c r="B263" t="s">
        <v>863</v>
      </c>
      <c r="C263" t="s">
        <v>109</v>
      </c>
      <c r="D263" t="s">
        <v>412</v>
      </c>
      <c r="F263">
        <f>VLOOKUP(A263,Country_WorkingSheet!$A$1:$D$202,2,FALSE)</f>
        <v>87</v>
      </c>
    </row>
    <row r="264" spans="1:6" x14ac:dyDescent="0.25">
      <c r="A264" t="s">
        <v>740</v>
      </c>
      <c r="B264" t="s">
        <v>864</v>
      </c>
      <c r="C264" t="s">
        <v>319</v>
      </c>
      <c r="D264" t="s">
        <v>412</v>
      </c>
      <c r="F264">
        <f>VLOOKUP(A264,Country_WorkingSheet!$A$1:$D$202,2,FALSE)</f>
        <v>87</v>
      </c>
    </row>
    <row r="265" spans="1:6" x14ac:dyDescent="0.25">
      <c r="A265" t="s">
        <v>740</v>
      </c>
      <c r="B265" t="s">
        <v>865</v>
      </c>
      <c r="C265" t="s">
        <v>343</v>
      </c>
      <c r="D265" t="s">
        <v>412</v>
      </c>
      <c r="F265">
        <f>VLOOKUP(A265,Country_WorkingSheet!$A$1:$D$202,2,FALSE)</f>
        <v>87</v>
      </c>
    </row>
    <row r="266" spans="1:6" x14ac:dyDescent="0.25">
      <c r="A266" t="s">
        <v>740</v>
      </c>
      <c r="B266" t="s">
        <v>866</v>
      </c>
      <c r="C266" t="s">
        <v>323</v>
      </c>
      <c r="D266" t="s">
        <v>412</v>
      </c>
      <c r="F266">
        <f>VLOOKUP(A266,Country_WorkingSheet!$A$1:$D$202,2,FALSE)</f>
        <v>87</v>
      </c>
    </row>
    <row r="267" spans="1:6" x14ac:dyDescent="0.25">
      <c r="A267" t="s">
        <v>740</v>
      </c>
      <c r="B267" t="s">
        <v>867</v>
      </c>
      <c r="C267" t="s">
        <v>868</v>
      </c>
      <c r="D267" t="s">
        <v>412</v>
      </c>
      <c r="F267">
        <f>VLOOKUP(A267,Country_WorkingSheet!$A$1:$D$202,2,FALSE)</f>
        <v>87</v>
      </c>
    </row>
    <row r="268" spans="1:6" x14ac:dyDescent="0.25">
      <c r="A268" t="s">
        <v>740</v>
      </c>
      <c r="B268" t="s">
        <v>869</v>
      </c>
      <c r="C268" t="s">
        <v>870</v>
      </c>
      <c r="D268" t="s">
        <v>412</v>
      </c>
      <c r="F268">
        <f>VLOOKUP(A268,Country_WorkingSheet!$A$1:$D$202,2,FALSE)</f>
        <v>87</v>
      </c>
    </row>
    <row r="269" spans="1:6" x14ac:dyDescent="0.25">
      <c r="A269" t="s">
        <v>740</v>
      </c>
      <c r="B269" t="s">
        <v>871</v>
      </c>
      <c r="C269" t="s">
        <v>872</v>
      </c>
      <c r="D269" t="s">
        <v>412</v>
      </c>
      <c r="F269">
        <f>VLOOKUP(A269,Country_WorkingSheet!$A$1:$D$202,2,FALSE)</f>
        <v>87</v>
      </c>
    </row>
    <row r="270" spans="1:6" x14ac:dyDescent="0.25">
      <c r="A270" t="s">
        <v>740</v>
      </c>
      <c r="B270" t="s">
        <v>873</v>
      </c>
      <c r="C270" t="s">
        <v>363</v>
      </c>
      <c r="D270" t="s">
        <v>412</v>
      </c>
      <c r="F270">
        <f>VLOOKUP(A270,Country_WorkingSheet!$A$1:$D$202,2,FALSE)</f>
        <v>87</v>
      </c>
    </row>
    <row r="271" spans="1:6" x14ac:dyDescent="0.25">
      <c r="A271" t="s">
        <v>740</v>
      </c>
      <c r="B271" t="s">
        <v>874</v>
      </c>
      <c r="C271" t="s">
        <v>875</v>
      </c>
      <c r="D271" t="s">
        <v>412</v>
      </c>
      <c r="F271">
        <f>VLOOKUP(A271,Country_WorkingSheet!$A$1:$D$202,2,FALSE)</f>
        <v>87</v>
      </c>
    </row>
    <row r="272" spans="1:6" x14ac:dyDescent="0.25">
      <c r="A272" t="s">
        <v>740</v>
      </c>
      <c r="B272" t="s">
        <v>876</v>
      </c>
      <c r="C272" t="s">
        <v>367</v>
      </c>
      <c r="D272" t="s">
        <v>412</v>
      </c>
      <c r="F272">
        <f>VLOOKUP(A272,Country_WorkingSheet!$A$1:$D$202,2,FALSE)</f>
        <v>87</v>
      </c>
    </row>
    <row r="273" spans="1:6" x14ac:dyDescent="0.25">
      <c r="A273" t="s">
        <v>740</v>
      </c>
      <c r="B273" t="s">
        <v>877</v>
      </c>
      <c r="C273" t="s">
        <v>373</v>
      </c>
      <c r="D273" t="s">
        <v>412</v>
      </c>
      <c r="F273">
        <f>VLOOKUP(A273,Country_WorkingSheet!$A$1:$D$202,2,FALSE)</f>
        <v>87</v>
      </c>
    </row>
    <row r="274" spans="1:6" x14ac:dyDescent="0.25">
      <c r="A274" t="s">
        <v>740</v>
      </c>
      <c r="B274" t="s">
        <v>878</v>
      </c>
      <c r="C274" t="s">
        <v>879</v>
      </c>
      <c r="D274" t="s">
        <v>412</v>
      </c>
      <c r="F274">
        <f>VLOOKUP(A274,Country_WorkingSheet!$A$1:$D$202,2,FALSE)</f>
        <v>87</v>
      </c>
    </row>
    <row r="275" spans="1:6" x14ac:dyDescent="0.25">
      <c r="A275" t="s">
        <v>740</v>
      </c>
      <c r="B275" t="s">
        <v>880</v>
      </c>
      <c r="C275" t="s">
        <v>881</v>
      </c>
      <c r="D275" t="s">
        <v>412</v>
      </c>
      <c r="F275">
        <f>VLOOKUP(A275,Country_WorkingSheet!$A$1:$D$202,2,FALSE)</f>
        <v>87</v>
      </c>
    </row>
    <row r="276" spans="1:6" x14ac:dyDescent="0.25">
      <c r="A276" t="s">
        <v>740</v>
      </c>
      <c r="B276" t="s">
        <v>882</v>
      </c>
      <c r="C276" t="s">
        <v>389</v>
      </c>
      <c r="D276" t="s">
        <v>412</v>
      </c>
      <c r="F276">
        <f>VLOOKUP(A276,Country_WorkingSheet!$A$1:$D$202,2,FALSE)</f>
        <v>87</v>
      </c>
    </row>
    <row r="277" spans="1:6" x14ac:dyDescent="0.25">
      <c r="A277" t="s">
        <v>740</v>
      </c>
      <c r="B277" t="s">
        <v>883</v>
      </c>
      <c r="C277" t="s">
        <v>391</v>
      </c>
      <c r="D277" t="s">
        <v>412</v>
      </c>
      <c r="F277">
        <f>VLOOKUP(A277,Country_WorkingSheet!$A$1:$D$202,2,FALSE)</f>
        <v>87</v>
      </c>
    </row>
    <row r="278" spans="1:6" x14ac:dyDescent="0.25">
      <c r="A278" t="s">
        <v>740</v>
      </c>
      <c r="B278" t="s">
        <v>884</v>
      </c>
      <c r="C278" t="s">
        <v>885</v>
      </c>
      <c r="D278" t="s">
        <v>412</v>
      </c>
      <c r="F278">
        <f>VLOOKUP(A278,Country_WorkingSheet!$A$1:$D$202,2,FALSE)</f>
        <v>87</v>
      </c>
    </row>
    <row r="279" spans="1:6" x14ac:dyDescent="0.25">
      <c r="A279" t="s">
        <v>740</v>
      </c>
      <c r="B279" t="s">
        <v>886</v>
      </c>
      <c r="C279" t="s">
        <v>341</v>
      </c>
      <c r="D279" t="s">
        <v>412</v>
      </c>
      <c r="F279">
        <f>VLOOKUP(A279,Country_WorkingSheet!$A$1:$D$202,2,FALSE)</f>
        <v>87</v>
      </c>
    </row>
    <row r="280" spans="1:6" x14ac:dyDescent="0.25">
      <c r="A280" t="s">
        <v>740</v>
      </c>
      <c r="B280" t="s">
        <v>887</v>
      </c>
      <c r="C280" t="s">
        <v>888</v>
      </c>
      <c r="D280" t="s">
        <v>412</v>
      </c>
      <c r="F280">
        <f>VLOOKUP(A280,Country_WorkingSheet!$A$1:$D$202,2,FALSE)</f>
        <v>87</v>
      </c>
    </row>
    <row r="281" spans="1:6" x14ac:dyDescent="0.25">
      <c r="A281" t="s">
        <v>740</v>
      </c>
      <c r="B281" t="s">
        <v>889</v>
      </c>
      <c r="C281" t="s">
        <v>890</v>
      </c>
      <c r="D281" t="s">
        <v>412</v>
      </c>
      <c r="F281">
        <f>VLOOKUP(A281,Country_WorkingSheet!$A$1:$D$202,2,FALSE)</f>
        <v>87</v>
      </c>
    </row>
    <row r="282" spans="1:6" x14ac:dyDescent="0.25">
      <c r="A282" t="s">
        <v>740</v>
      </c>
      <c r="B282" t="s">
        <v>891</v>
      </c>
      <c r="C282" t="s">
        <v>892</v>
      </c>
      <c r="D282" t="s">
        <v>412</v>
      </c>
      <c r="F282">
        <f>VLOOKUP(A282,Country_WorkingSheet!$A$1:$D$202,2,FALSE)</f>
        <v>87</v>
      </c>
    </row>
    <row r="283" spans="1:6" x14ac:dyDescent="0.25">
      <c r="A283" t="s">
        <v>740</v>
      </c>
      <c r="B283" t="s">
        <v>893</v>
      </c>
      <c r="C283" t="s">
        <v>894</v>
      </c>
      <c r="D283" t="s">
        <v>412</v>
      </c>
      <c r="F283">
        <f>VLOOKUP(A283,Country_WorkingSheet!$A$1:$D$202,2,FALSE)</f>
        <v>87</v>
      </c>
    </row>
    <row r="284" spans="1:6" x14ac:dyDescent="0.25">
      <c r="A284" t="s">
        <v>895</v>
      </c>
      <c r="B284" t="s">
        <v>896</v>
      </c>
      <c r="C284" t="s">
        <v>897</v>
      </c>
      <c r="D284" t="s">
        <v>898</v>
      </c>
      <c r="F284">
        <f>VLOOKUP(A284,Country_WorkingSheet!$A$1:$D$202,2,FALSE)</f>
        <v>89</v>
      </c>
    </row>
    <row r="285" spans="1:6" x14ac:dyDescent="0.25">
      <c r="A285" t="s">
        <v>895</v>
      </c>
      <c r="B285" t="s">
        <v>899</v>
      </c>
      <c r="C285" t="s">
        <v>900</v>
      </c>
      <c r="D285" t="s">
        <v>898</v>
      </c>
      <c r="F285">
        <f>VLOOKUP(A285,Country_WorkingSheet!$A$1:$D$202,2,FALSE)</f>
        <v>89</v>
      </c>
    </row>
    <row r="286" spans="1:6" x14ac:dyDescent="0.25">
      <c r="A286" t="s">
        <v>895</v>
      </c>
      <c r="B286" t="s">
        <v>901</v>
      </c>
      <c r="C286" t="s">
        <v>902</v>
      </c>
      <c r="D286" t="s">
        <v>898</v>
      </c>
      <c r="F286">
        <f>VLOOKUP(A286,Country_WorkingSheet!$A$1:$D$202,2,FALSE)</f>
        <v>89</v>
      </c>
    </row>
    <row r="287" spans="1:6" x14ac:dyDescent="0.25">
      <c r="A287" t="s">
        <v>895</v>
      </c>
      <c r="B287" t="s">
        <v>903</v>
      </c>
      <c r="C287" t="s">
        <v>904</v>
      </c>
      <c r="D287" t="s">
        <v>898</v>
      </c>
      <c r="F287">
        <f>VLOOKUP(A287,Country_WorkingSheet!$A$1:$D$202,2,FALSE)</f>
        <v>89</v>
      </c>
    </row>
    <row r="288" spans="1:6" x14ac:dyDescent="0.25">
      <c r="A288" t="s">
        <v>895</v>
      </c>
      <c r="B288" t="s">
        <v>905</v>
      </c>
      <c r="C288" t="s">
        <v>906</v>
      </c>
      <c r="D288" t="s">
        <v>898</v>
      </c>
      <c r="F288">
        <f>VLOOKUP(A288,Country_WorkingSheet!$A$1:$D$202,2,FALSE)</f>
        <v>89</v>
      </c>
    </row>
    <row r="289" spans="1:6" x14ac:dyDescent="0.25">
      <c r="A289" t="s">
        <v>895</v>
      </c>
      <c r="B289" t="s">
        <v>907</v>
      </c>
      <c r="C289" t="s">
        <v>908</v>
      </c>
      <c r="D289" t="s">
        <v>898</v>
      </c>
      <c r="F289">
        <f>VLOOKUP(A289,Country_WorkingSheet!$A$1:$D$202,2,FALSE)</f>
        <v>89</v>
      </c>
    </row>
    <row r="290" spans="1:6" x14ac:dyDescent="0.25">
      <c r="A290" t="s">
        <v>895</v>
      </c>
      <c r="B290" t="s">
        <v>909</v>
      </c>
      <c r="C290" t="s">
        <v>910</v>
      </c>
      <c r="D290" t="s">
        <v>898</v>
      </c>
      <c r="F290">
        <f>VLOOKUP(A290,Country_WorkingSheet!$A$1:$D$202,2,FALSE)</f>
        <v>89</v>
      </c>
    </row>
    <row r="291" spans="1:6" x14ac:dyDescent="0.25">
      <c r="A291" t="s">
        <v>895</v>
      </c>
      <c r="B291" t="s">
        <v>911</v>
      </c>
      <c r="C291" t="s">
        <v>912</v>
      </c>
      <c r="D291" t="s">
        <v>898</v>
      </c>
      <c r="F291">
        <f>VLOOKUP(A291,Country_WorkingSheet!$A$1:$D$202,2,FALSE)</f>
        <v>89</v>
      </c>
    </row>
    <row r="292" spans="1:6" x14ac:dyDescent="0.25">
      <c r="A292" t="s">
        <v>895</v>
      </c>
      <c r="B292" t="s">
        <v>913</v>
      </c>
      <c r="C292" t="s">
        <v>914</v>
      </c>
      <c r="D292" t="s">
        <v>898</v>
      </c>
      <c r="F292">
        <f>VLOOKUP(A292,Country_WorkingSheet!$A$1:$D$202,2,FALSE)</f>
        <v>89</v>
      </c>
    </row>
    <row r="293" spans="1:6" x14ac:dyDescent="0.25">
      <c r="A293" t="s">
        <v>895</v>
      </c>
      <c r="B293" t="s">
        <v>915</v>
      </c>
      <c r="C293" t="s">
        <v>916</v>
      </c>
      <c r="D293" t="s">
        <v>898</v>
      </c>
      <c r="F293">
        <f>VLOOKUP(A293,Country_WorkingSheet!$A$1:$D$202,2,FALSE)</f>
        <v>89</v>
      </c>
    </row>
    <row r="294" spans="1:6" x14ac:dyDescent="0.25">
      <c r="A294" t="s">
        <v>895</v>
      </c>
      <c r="B294" t="s">
        <v>917</v>
      </c>
      <c r="C294" t="s">
        <v>918</v>
      </c>
      <c r="D294" t="s">
        <v>898</v>
      </c>
      <c r="F294">
        <f>VLOOKUP(A294,Country_WorkingSheet!$A$1:$D$202,2,FALSE)</f>
        <v>89</v>
      </c>
    </row>
    <row r="295" spans="1:6" x14ac:dyDescent="0.25">
      <c r="A295" t="s">
        <v>895</v>
      </c>
      <c r="B295" t="s">
        <v>919</v>
      </c>
      <c r="C295" t="s">
        <v>920</v>
      </c>
      <c r="D295" t="s">
        <v>898</v>
      </c>
      <c r="F295">
        <f>VLOOKUP(A295,Country_WorkingSheet!$A$1:$D$202,2,FALSE)</f>
        <v>89</v>
      </c>
    </row>
    <row r="296" spans="1:6" x14ac:dyDescent="0.25">
      <c r="A296" t="s">
        <v>895</v>
      </c>
      <c r="B296" t="s">
        <v>921</v>
      </c>
      <c r="C296" t="s">
        <v>922</v>
      </c>
      <c r="D296" t="s">
        <v>898</v>
      </c>
      <c r="F296">
        <f>VLOOKUP(A296,Country_WorkingSheet!$A$1:$D$202,2,FALSE)</f>
        <v>89</v>
      </c>
    </row>
    <row r="297" spans="1:6" x14ac:dyDescent="0.25">
      <c r="A297" t="s">
        <v>895</v>
      </c>
      <c r="B297" t="s">
        <v>923</v>
      </c>
      <c r="C297" t="s">
        <v>924</v>
      </c>
      <c r="D297" t="s">
        <v>898</v>
      </c>
      <c r="F297">
        <f>VLOOKUP(A297,Country_WorkingSheet!$A$1:$D$202,2,FALSE)</f>
        <v>89</v>
      </c>
    </row>
    <row r="298" spans="1:6" x14ac:dyDescent="0.25">
      <c r="A298" t="s">
        <v>895</v>
      </c>
      <c r="B298" t="s">
        <v>925</v>
      </c>
      <c r="C298" t="s">
        <v>926</v>
      </c>
      <c r="D298" t="s">
        <v>898</v>
      </c>
      <c r="F298">
        <f>VLOOKUP(A298,Country_WorkingSheet!$A$1:$D$202,2,FALSE)</f>
        <v>89</v>
      </c>
    </row>
    <row r="299" spans="1:6" x14ac:dyDescent="0.25">
      <c r="A299" t="s">
        <v>895</v>
      </c>
      <c r="B299" t="s">
        <v>927</v>
      </c>
      <c r="C299" t="s">
        <v>928</v>
      </c>
      <c r="D299" t="s">
        <v>898</v>
      </c>
      <c r="F299">
        <f>VLOOKUP(A299,Country_WorkingSheet!$A$1:$D$202,2,FALSE)</f>
        <v>89</v>
      </c>
    </row>
    <row r="300" spans="1:6" x14ac:dyDescent="0.25">
      <c r="A300" t="s">
        <v>895</v>
      </c>
      <c r="B300" t="s">
        <v>929</v>
      </c>
      <c r="C300" t="s">
        <v>930</v>
      </c>
      <c r="D300" t="s">
        <v>898</v>
      </c>
      <c r="F300">
        <f>VLOOKUP(A300,Country_WorkingSheet!$A$1:$D$202,2,FALSE)</f>
        <v>89</v>
      </c>
    </row>
    <row r="301" spans="1:6" x14ac:dyDescent="0.25">
      <c r="A301" t="s">
        <v>895</v>
      </c>
      <c r="B301" t="s">
        <v>931</v>
      </c>
      <c r="C301" t="s">
        <v>932</v>
      </c>
      <c r="D301" t="s">
        <v>898</v>
      </c>
      <c r="F301">
        <f>VLOOKUP(A301,Country_WorkingSheet!$A$1:$D$202,2,FALSE)</f>
        <v>89</v>
      </c>
    </row>
    <row r="302" spans="1:6" x14ac:dyDescent="0.25">
      <c r="A302" t="s">
        <v>895</v>
      </c>
      <c r="B302" t="s">
        <v>933</v>
      </c>
      <c r="C302" t="s">
        <v>934</v>
      </c>
      <c r="D302" t="s">
        <v>898</v>
      </c>
      <c r="F302">
        <f>VLOOKUP(A302,Country_WorkingSheet!$A$1:$D$202,2,FALSE)</f>
        <v>89</v>
      </c>
    </row>
    <row r="303" spans="1:6" x14ac:dyDescent="0.25">
      <c r="A303" t="s">
        <v>895</v>
      </c>
      <c r="B303" t="s">
        <v>935</v>
      </c>
      <c r="C303" t="s">
        <v>936</v>
      </c>
      <c r="D303" t="s">
        <v>898</v>
      </c>
      <c r="F303">
        <f>VLOOKUP(A303,Country_WorkingSheet!$A$1:$D$202,2,FALSE)</f>
        <v>89</v>
      </c>
    </row>
    <row r="304" spans="1:6" x14ac:dyDescent="0.25">
      <c r="A304" t="s">
        <v>895</v>
      </c>
      <c r="B304" t="s">
        <v>937</v>
      </c>
      <c r="C304" t="s">
        <v>938</v>
      </c>
      <c r="D304" t="s">
        <v>898</v>
      </c>
      <c r="F304">
        <f>VLOOKUP(A304,Country_WorkingSheet!$A$1:$D$202,2,FALSE)</f>
        <v>89</v>
      </c>
    </row>
    <row r="305" spans="1:6" x14ac:dyDescent="0.25">
      <c r="A305" t="s">
        <v>895</v>
      </c>
      <c r="B305" t="s">
        <v>939</v>
      </c>
      <c r="C305" t="s">
        <v>940</v>
      </c>
      <c r="D305" t="s">
        <v>898</v>
      </c>
      <c r="F305">
        <f>VLOOKUP(A305,Country_WorkingSheet!$A$1:$D$202,2,FALSE)</f>
        <v>89</v>
      </c>
    </row>
    <row r="306" spans="1:6" x14ac:dyDescent="0.25">
      <c r="A306" t="s">
        <v>895</v>
      </c>
      <c r="B306" t="s">
        <v>941</v>
      </c>
      <c r="C306" t="s">
        <v>942</v>
      </c>
      <c r="D306" t="s">
        <v>898</v>
      </c>
      <c r="F306">
        <f>VLOOKUP(A306,Country_WorkingSheet!$A$1:$D$202,2,FALSE)</f>
        <v>89</v>
      </c>
    </row>
    <row r="307" spans="1:6" x14ac:dyDescent="0.25">
      <c r="A307" t="s">
        <v>895</v>
      </c>
      <c r="B307" t="s">
        <v>943</v>
      </c>
      <c r="C307" t="s">
        <v>944</v>
      </c>
      <c r="D307" t="s">
        <v>898</v>
      </c>
      <c r="F307">
        <f>VLOOKUP(A307,Country_WorkingSheet!$A$1:$D$202,2,FALSE)</f>
        <v>89</v>
      </c>
    </row>
    <row r="308" spans="1:6" x14ac:dyDescent="0.25">
      <c r="A308" t="s">
        <v>895</v>
      </c>
      <c r="B308" t="s">
        <v>945</v>
      </c>
      <c r="C308" t="s">
        <v>946</v>
      </c>
      <c r="D308" t="s">
        <v>898</v>
      </c>
      <c r="F308">
        <f>VLOOKUP(A308,Country_WorkingSheet!$A$1:$D$202,2,FALSE)</f>
        <v>89</v>
      </c>
    </row>
    <row r="309" spans="1:6" x14ac:dyDescent="0.25">
      <c r="A309" t="s">
        <v>895</v>
      </c>
      <c r="B309" t="s">
        <v>947</v>
      </c>
      <c r="C309" t="s">
        <v>948</v>
      </c>
      <c r="D309" t="s">
        <v>898</v>
      </c>
      <c r="F309">
        <f>VLOOKUP(A309,Country_WorkingSheet!$A$1:$D$202,2,FALSE)</f>
        <v>89</v>
      </c>
    </row>
    <row r="310" spans="1:6" x14ac:dyDescent="0.25">
      <c r="A310" t="s">
        <v>895</v>
      </c>
      <c r="B310" t="s">
        <v>949</v>
      </c>
      <c r="C310" t="s">
        <v>950</v>
      </c>
      <c r="D310" t="s">
        <v>898</v>
      </c>
      <c r="F310">
        <f>VLOOKUP(A310,Country_WorkingSheet!$A$1:$D$202,2,FALSE)</f>
        <v>89</v>
      </c>
    </row>
    <row r="311" spans="1:6" x14ac:dyDescent="0.25">
      <c r="A311" t="s">
        <v>895</v>
      </c>
      <c r="B311" t="s">
        <v>951</v>
      </c>
      <c r="C311" t="s">
        <v>952</v>
      </c>
      <c r="D311" t="s">
        <v>898</v>
      </c>
      <c r="F311">
        <f>VLOOKUP(A311,Country_WorkingSheet!$A$1:$D$202,2,FALSE)</f>
        <v>89</v>
      </c>
    </row>
    <row r="312" spans="1:6" x14ac:dyDescent="0.25">
      <c r="A312" t="s">
        <v>895</v>
      </c>
      <c r="B312" t="s">
        <v>953</v>
      </c>
      <c r="C312" t="s">
        <v>954</v>
      </c>
      <c r="D312" t="s">
        <v>898</v>
      </c>
      <c r="F312">
        <f>VLOOKUP(A312,Country_WorkingSheet!$A$1:$D$202,2,FALSE)</f>
        <v>89</v>
      </c>
    </row>
    <row r="313" spans="1:6" x14ac:dyDescent="0.25">
      <c r="A313" t="s">
        <v>895</v>
      </c>
      <c r="B313" t="s">
        <v>955</v>
      </c>
      <c r="C313" t="s">
        <v>956</v>
      </c>
      <c r="D313" t="s">
        <v>898</v>
      </c>
      <c r="F313">
        <f>VLOOKUP(A313,Country_WorkingSheet!$A$1:$D$202,2,FALSE)</f>
        <v>89</v>
      </c>
    </row>
    <row r="314" spans="1:6" x14ac:dyDescent="0.25">
      <c r="A314" t="s">
        <v>895</v>
      </c>
      <c r="B314" t="s">
        <v>957</v>
      </c>
      <c r="C314" t="s">
        <v>958</v>
      </c>
      <c r="D314" t="s">
        <v>898</v>
      </c>
      <c r="F314">
        <f>VLOOKUP(A314,Country_WorkingSheet!$A$1:$D$202,2,FALSE)</f>
        <v>89</v>
      </c>
    </row>
    <row r="315" spans="1:6" x14ac:dyDescent="0.25">
      <c r="A315" t="s">
        <v>895</v>
      </c>
      <c r="B315" t="s">
        <v>959</v>
      </c>
      <c r="C315" t="s">
        <v>960</v>
      </c>
      <c r="D315" t="s">
        <v>898</v>
      </c>
      <c r="F315">
        <f>VLOOKUP(A315,Country_WorkingSheet!$A$1:$D$202,2,FALSE)</f>
        <v>89</v>
      </c>
    </row>
    <row r="316" spans="1:6" x14ac:dyDescent="0.25">
      <c r="A316" t="s">
        <v>895</v>
      </c>
      <c r="B316" t="s">
        <v>961</v>
      </c>
      <c r="C316" t="s">
        <v>962</v>
      </c>
      <c r="D316" t="s">
        <v>898</v>
      </c>
      <c r="F316">
        <f>VLOOKUP(A316,Country_WorkingSheet!$A$1:$D$202,2,FALSE)</f>
        <v>89</v>
      </c>
    </row>
    <row r="317" spans="1:6" x14ac:dyDescent="0.25">
      <c r="A317" t="s">
        <v>895</v>
      </c>
      <c r="B317" t="s">
        <v>963</v>
      </c>
      <c r="C317" t="s">
        <v>964</v>
      </c>
      <c r="D317" t="s">
        <v>898</v>
      </c>
      <c r="F317">
        <f>VLOOKUP(A317,Country_WorkingSheet!$A$1:$D$202,2,FALSE)</f>
        <v>89</v>
      </c>
    </row>
    <row r="318" spans="1:6" x14ac:dyDescent="0.25">
      <c r="A318" t="s">
        <v>895</v>
      </c>
      <c r="B318" t="s">
        <v>965</v>
      </c>
      <c r="C318" t="s">
        <v>966</v>
      </c>
      <c r="D318" t="s">
        <v>898</v>
      </c>
      <c r="F318">
        <f>VLOOKUP(A318,Country_WorkingSheet!$A$1:$D$202,2,FALSE)</f>
        <v>89</v>
      </c>
    </row>
    <row r="319" spans="1:6" x14ac:dyDescent="0.25">
      <c r="A319" t="s">
        <v>895</v>
      </c>
      <c r="B319" t="s">
        <v>967</v>
      </c>
      <c r="C319" t="s">
        <v>968</v>
      </c>
      <c r="D319" t="s">
        <v>898</v>
      </c>
      <c r="F319">
        <f>VLOOKUP(A319,Country_WorkingSheet!$A$1:$D$202,2,FALSE)</f>
        <v>89</v>
      </c>
    </row>
    <row r="320" spans="1:6" x14ac:dyDescent="0.25">
      <c r="A320" t="s">
        <v>895</v>
      </c>
      <c r="B320" t="s">
        <v>969</v>
      </c>
      <c r="C320" t="s">
        <v>970</v>
      </c>
      <c r="D320" t="s">
        <v>898</v>
      </c>
      <c r="F320">
        <f>VLOOKUP(A320,Country_WorkingSheet!$A$1:$D$202,2,FALSE)</f>
        <v>89</v>
      </c>
    </row>
    <row r="321" spans="1:6" x14ac:dyDescent="0.25">
      <c r="A321" t="s">
        <v>895</v>
      </c>
      <c r="B321" t="s">
        <v>971</v>
      </c>
      <c r="C321" t="s">
        <v>972</v>
      </c>
      <c r="D321" t="s">
        <v>898</v>
      </c>
      <c r="F321">
        <f>VLOOKUP(A321,Country_WorkingSheet!$A$1:$D$202,2,FALSE)</f>
        <v>89</v>
      </c>
    </row>
    <row r="322" spans="1:6" x14ac:dyDescent="0.25">
      <c r="A322" t="s">
        <v>895</v>
      </c>
      <c r="B322" t="s">
        <v>973</v>
      </c>
      <c r="C322" t="s">
        <v>974</v>
      </c>
      <c r="D322" t="s">
        <v>898</v>
      </c>
      <c r="F322">
        <f>VLOOKUP(A322,Country_WorkingSheet!$A$1:$D$202,2,FALSE)</f>
        <v>89</v>
      </c>
    </row>
    <row r="323" spans="1:6" x14ac:dyDescent="0.25">
      <c r="A323" t="s">
        <v>895</v>
      </c>
      <c r="B323" t="s">
        <v>975</v>
      </c>
      <c r="C323" t="s">
        <v>976</v>
      </c>
      <c r="D323" t="s">
        <v>898</v>
      </c>
      <c r="F323">
        <f>VLOOKUP(A323,Country_WorkingSheet!$A$1:$D$202,2,FALSE)</f>
        <v>89</v>
      </c>
    </row>
    <row r="324" spans="1:6" x14ac:dyDescent="0.25">
      <c r="A324" t="s">
        <v>895</v>
      </c>
      <c r="B324" t="s">
        <v>977</v>
      </c>
      <c r="C324" t="s">
        <v>978</v>
      </c>
      <c r="D324" t="s">
        <v>898</v>
      </c>
      <c r="F324">
        <f>VLOOKUP(A324,Country_WorkingSheet!$A$1:$D$202,2,FALSE)</f>
        <v>89</v>
      </c>
    </row>
    <row r="325" spans="1:6" x14ac:dyDescent="0.25">
      <c r="A325" t="s">
        <v>895</v>
      </c>
      <c r="B325" t="s">
        <v>979</v>
      </c>
      <c r="C325" t="s">
        <v>980</v>
      </c>
      <c r="D325" t="s">
        <v>898</v>
      </c>
      <c r="F325">
        <f>VLOOKUP(A325,Country_WorkingSheet!$A$1:$D$202,2,FALSE)</f>
        <v>89</v>
      </c>
    </row>
    <row r="326" spans="1:6" x14ac:dyDescent="0.25">
      <c r="A326" t="s">
        <v>895</v>
      </c>
      <c r="B326" t="s">
        <v>981</v>
      </c>
      <c r="C326" t="s">
        <v>982</v>
      </c>
      <c r="D326" t="s">
        <v>898</v>
      </c>
      <c r="F326">
        <f>VLOOKUP(A326,Country_WorkingSheet!$A$1:$D$202,2,FALSE)</f>
        <v>89</v>
      </c>
    </row>
    <row r="327" spans="1:6" x14ac:dyDescent="0.25">
      <c r="A327" t="s">
        <v>895</v>
      </c>
      <c r="B327" t="s">
        <v>983</v>
      </c>
      <c r="C327" t="s">
        <v>984</v>
      </c>
      <c r="D327" t="s">
        <v>898</v>
      </c>
      <c r="F327">
        <f>VLOOKUP(A327,Country_WorkingSheet!$A$1:$D$202,2,FALSE)</f>
        <v>89</v>
      </c>
    </row>
    <row r="328" spans="1:6" x14ac:dyDescent="0.25">
      <c r="A328" t="s">
        <v>895</v>
      </c>
      <c r="B328" t="s">
        <v>985</v>
      </c>
      <c r="C328" t="s">
        <v>986</v>
      </c>
      <c r="D328" t="s">
        <v>898</v>
      </c>
      <c r="F328">
        <f>VLOOKUP(A328,Country_WorkingSheet!$A$1:$D$202,2,FALSE)</f>
        <v>89</v>
      </c>
    </row>
    <row r="329" spans="1:6" x14ac:dyDescent="0.25">
      <c r="A329" t="s">
        <v>895</v>
      </c>
      <c r="B329" t="s">
        <v>987</v>
      </c>
      <c r="C329" t="s">
        <v>988</v>
      </c>
      <c r="D329" t="s">
        <v>898</v>
      </c>
      <c r="F329">
        <f>VLOOKUP(A329,Country_WorkingSheet!$A$1:$D$202,2,FALSE)</f>
        <v>89</v>
      </c>
    </row>
    <row r="330" spans="1:6" x14ac:dyDescent="0.25">
      <c r="A330" t="s">
        <v>895</v>
      </c>
      <c r="B330" t="s">
        <v>989</v>
      </c>
      <c r="C330" t="s">
        <v>990</v>
      </c>
      <c r="D330" t="s">
        <v>898</v>
      </c>
      <c r="F330">
        <f>VLOOKUP(A330,Country_WorkingSheet!$A$1:$D$202,2,FALSE)</f>
        <v>89</v>
      </c>
    </row>
    <row r="331" spans="1:6" x14ac:dyDescent="0.25">
      <c r="A331" t="s">
        <v>991</v>
      </c>
      <c r="B331" t="s">
        <v>992</v>
      </c>
      <c r="C331" t="s">
        <v>993</v>
      </c>
      <c r="D331" t="s">
        <v>462</v>
      </c>
      <c r="F331">
        <f>VLOOKUP(A331,Country_WorkingSheet!$A$1:$D$202,2,FALSE)</f>
        <v>114</v>
      </c>
    </row>
    <row r="332" spans="1:6" x14ac:dyDescent="0.25">
      <c r="A332" t="s">
        <v>991</v>
      </c>
      <c r="B332" t="s">
        <v>994</v>
      </c>
      <c r="C332" t="s">
        <v>504</v>
      </c>
      <c r="D332" t="s">
        <v>462</v>
      </c>
      <c r="F332">
        <f>VLOOKUP(A332,Country_WorkingSheet!$A$1:$D$202,2,FALSE)</f>
        <v>114</v>
      </c>
    </row>
    <row r="333" spans="1:6" x14ac:dyDescent="0.25">
      <c r="A333" t="s">
        <v>991</v>
      </c>
      <c r="B333" t="s">
        <v>995</v>
      </c>
      <c r="C333" t="s">
        <v>996</v>
      </c>
      <c r="D333" t="s">
        <v>462</v>
      </c>
      <c r="F333">
        <f>VLOOKUP(A333,Country_WorkingSheet!$A$1:$D$202,2,FALSE)</f>
        <v>114</v>
      </c>
    </row>
    <row r="334" spans="1:6" x14ac:dyDescent="0.25">
      <c r="A334" t="s">
        <v>991</v>
      </c>
      <c r="B334" t="s">
        <v>997</v>
      </c>
      <c r="C334" t="s">
        <v>998</v>
      </c>
      <c r="D334" t="s">
        <v>462</v>
      </c>
      <c r="F334">
        <f>VLOOKUP(A334,Country_WorkingSheet!$A$1:$D$202,2,FALSE)</f>
        <v>114</v>
      </c>
    </row>
    <row r="335" spans="1:6" x14ac:dyDescent="0.25">
      <c r="A335" t="s">
        <v>991</v>
      </c>
      <c r="B335" t="s">
        <v>999</v>
      </c>
      <c r="C335" t="s">
        <v>1000</v>
      </c>
      <c r="D335" t="s">
        <v>462</v>
      </c>
      <c r="F335">
        <f>VLOOKUP(A335,Country_WorkingSheet!$A$1:$D$202,2,FALSE)</f>
        <v>114</v>
      </c>
    </row>
    <row r="336" spans="1:6" x14ac:dyDescent="0.25">
      <c r="A336" t="s">
        <v>991</v>
      </c>
      <c r="B336" t="s">
        <v>1001</v>
      </c>
      <c r="C336" t="s">
        <v>1002</v>
      </c>
      <c r="D336" t="s">
        <v>462</v>
      </c>
      <c r="F336">
        <f>VLOOKUP(A336,Country_WorkingSheet!$A$1:$D$202,2,FALSE)</f>
        <v>114</v>
      </c>
    </row>
    <row r="337" spans="1:6" x14ac:dyDescent="0.25">
      <c r="A337" t="s">
        <v>991</v>
      </c>
      <c r="B337" t="s">
        <v>1003</v>
      </c>
      <c r="C337" t="s">
        <v>1004</v>
      </c>
      <c r="D337" t="s">
        <v>462</v>
      </c>
      <c r="F337">
        <f>VLOOKUP(A337,Country_WorkingSheet!$A$1:$D$202,2,FALSE)</f>
        <v>114</v>
      </c>
    </row>
    <row r="338" spans="1:6" x14ac:dyDescent="0.25">
      <c r="A338" t="s">
        <v>991</v>
      </c>
      <c r="B338" t="s">
        <v>1005</v>
      </c>
      <c r="C338" t="s">
        <v>1006</v>
      </c>
      <c r="D338" t="s">
        <v>462</v>
      </c>
      <c r="F338">
        <f>VLOOKUP(A338,Country_WorkingSheet!$A$1:$D$202,2,FALSE)</f>
        <v>114</v>
      </c>
    </row>
    <row r="339" spans="1:6" x14ac:dyDescent="0.25">
      <c r="A339" t="s">
        <v>991</v>
      </c>
      <c r="B339" t="s">
        <v>1007</v>
      </c>
      <c r="C339" t="s">
        <v>1008</v>
      </c>
      <c r="D339" t="s">
        <v>462</v>
      </c>
      <c r="F339">
        <f>VLOOKUP(A339,Country_WorkingSheet!$A$1:$D$202,2,FALSE)</f>
        <v>114</v>
      </c>
    </row>
    <row r="340" spans="1:6" x14ac:dyDescent="0.25">
      <c r="A340" t="s">
        <v>991</v>
      </c>
      <c r="B340" t="s">
        <v>470</v>
      </c>
      <c r="C340" t="s">
        <v>471</v>
      </c>
      <c r="D340" t="s">
        <v>462</v>
      </c>
      <c r="F340">
        <f>VLOOKUP(A340,Country_WorkingSheet!$A$1:$D$202,2,FALSE)</f>
        <v>114</v>
      </c>
    </row>
    <row r="341" spans="1:6" x14ac:dyDescent="0.25">
      <c r="A341" t="s">
        <v>991</v>
      </c>
      <c r="B341" t="s">
        <v>1009</v>
      </c>
      <c r="C341" t="s">
        <v>1010</v>
      </c>
      <c r="D341" t="s">
        <v>462</v>
      </c>
      <c r="F341">
        <f>VLOOKUP(A341,Country_WorkingSheet!$A$1:$D$202,2,FALSE)</f>
        <v>114</v>
      </c>
    </row>
    <row r="342" spans="1:6" x14ac:dyDescent="0.25">
      <c r="A342" t="s">
        <v>991</v>
      </c>
      <c r="B342" t="s">
        <v>1011</v>
      </c>
      <c r="C342" t="s">
        <v>1012</v>
      </c>
      <c r="D342" t="s">
        <v>462</v>
      </c>
      <c r="F342">
        <f>VLOOKUP(A342,Country_WorkingSheet!$A$1:$D$202,2,FALSE)</f>
        <v>114</v>
      </c>
    </row>
    <row r="343" spans="1:6" x14ac:dyDescent="0.25">
      <c r="A343" t="s">
        <v>991</v>
      </c>
      <c r="B343" t="s">
        <v>1013</v>
      </c>
      <c r="C343" t="s">
        <v>1014</v>
      </c>
      <c r="D343" t="s">
        <v>462</v>
      </c>
      <c r="F343">
        <f>VLOOKUP(A343,Country_WorkingSheet!$A$1:$D$202,2,FALSE)</f>
        <v>114</v>
      </c>
    </row>
    <row r="344" spans="1:6" x14ac:dyDescent="0.25">
      <c r="A344" t="s">
        <v>991</v>
      </c>
      <c r="B344" t="s">
        <v>1015</v>
      </c>
      <c r="C344" t="s">
        <v>1016</v>
      </c>
      <c r="D344" t="s">
        <v>462</v>
      </c>
      <c r="F344">
        <f>VLOOKUP(A344,Country_WorkingSheet!$A$1:$D$202,2,FALSE)</f>
        <v>114</v>
      </c>
    </row>
    <row r="345" spans="1:6" x14ac:dyDescent="0.25">
      <c r="A345" t="s">
        <v>991</v>
      </c>
      <c r="B345" t="s">
        <v>1017</v>
      </c>
      <c r="C345" t="s">
        <v>1018</v>
      </c>
      <c r="D345" t="s">
        <v>462</v>
      </c>
      <c r="F345">
        <f>VLOOKUP(A345,Country_WorkingSheet!$A$1:$D$202,2,FALSE)</f>
        <v>114</v>
      </c>
    </row>
    <row r="346" spans="1:6" x14ac:dyDescent="0.25">
      <c r="A346" t="s">
        <v>991</v>
      </c>
      <c r="B346" t="s">
        <v>1019</v>
      </c>
      <c r="C346" t="s">
        <v>1020</v>
      </c>
      <c r="D346" t="s">
        <v>462</v>
      </c>
      <c r="F346">
        <f>VLOOKUP(A346,Country_WorkingSheet!$A$1:$D$202,2,FALSE)</f>
        <v>114</v>
      </c>
    </row>
    <row r="347" spans="1:6" x14ac:dyDescent="0.25">
      <c r="A347" t="s">
        <v>991</v>
      </c>
      <c r="B347" t="s">
        <v>1021</v>
      </c>
      <c r="C347" t="s">
        <v>1022</v>
      </c>
      <c r="D347" t="s">
        <v>462</v>
      </c>
      <c r="F347">
        <f>VLOOKUP(A347,Country_WorkingSheet!$A$1:$D$202,2,FALSE)</f>
        <v>114</v>
      </c>
    </row>
    <row r="348" spans="1:6" x14ac:dyDescent="0.25">
      <c r="A348" t="s">
        <v>991</v>
      </c>
      <c r="B348" t="s">
        <v>1023</v>
      </c>
      <c r="C348" t="s">
        <v>1024</v>
      </c>
      <c r="D348" t="s">
        <v>462</v>
      </c>
      <c r="F348">
        <f>VLOOKUP(A348,Country_WorkingSheet!$A$1:$D$202,2,FALSE)</f>
        <v>114</v>
      </c>
    </row>
    <row r="349" spans="1:6" x14ac:dyDescent="0.25">
      <c r="A349" t="s">
        <v>991</v>
      </c>
      <c r="B349" t="s">
        <v>1025</v>
      </c>
      <c r="C349" t="s">
        <v>1026</v>
      </c>
      <c r="D349" t="s">
        <v>462</v>
      </c>
      <c r="F349">
        <f>VLOOKUP(A349,Country_WorkingSheet!$A$1:$D$202,2,FALSE)</f>
        <v>114</v>
      </c>
    </row>
    <row r="350" spans="1:6" x14ac:dyDescent="0.25">
      <c r="A350" t="s">
        <v>991</v>
      </c>
      <c r="B350" t="s">
        <v>1027</v>
      </c>
      <c r="C350" t="s">
        <v>251</v>
      </c>
      <c r="D350" t="s">
        <v>462</v>
      </c>
      <c r="F350">
        <f>VLOOKUP(A350,Country_WorkingSheet!$A$1:$D$202,2,FALSE)</f>
        <v>114</v>
      </c>
    </row>
    <row r="351" spans="1:6" x14ac:dyDescent="0.25">
      <c r="A351" t="s">
        <v>991</v>
      </c>
      <c r="B351" t="s">
        <v>1028</v>
      </c>
      <c r="C351" t="s">
        <v>1029</v>
      </c>
      <c r="D351" t="s">
        <v>462</v>
      </c>
      <c r="F351">
        <f>VLOOKUP(A351,Country_WorkingSheet!$A$1:$D$202,2,FALSE)</f>
        <v>114</v>
      </c>
    </row>
    <row r="352" spans="1:6" x14ac:dyDescent="0.25">
      <c r="A352" t="s">
        <v>991</v>
      </c>
      <c r="B352" t="s">
        <v>1030</v>
      </c>
      <c r="C352" t="s">
        <v>1031</v>
      </c>
      <c r="D352" t="s">
        <v>462</v>
      </c>
      <c r="F352">
        <f>VLOOKUP(A352,Country_WorkingSheet!$A$1:$D$202,2,FALSE)</f>
        <v>114</v>
      </c>
    </row>
    <row r="353" spans="1:6" x14ac:dyDescent="0.25">
      <c r="A353" t="s">
        <v>991</v>
      </c>
      <c r="B353" t="s">
        <v>1032</v>
      </c>
      <c r="C353" t="s">
        <v>1033</v>
      </c>
      <c r="D353" t="s">
        <v>462</v>
      </c>
      <c r="F353">
        <f>VLOOKUP(A353,Country_WorkingSheet!$A$1:$D$202,2,FALSE)</f>
        <v>114</v>
      </c>
    </row>
    <row r="354" spans="1:6" x14ac:dyDescent="0.25">
      <c r="A354" t="s">
        <v>991</v>
      </c>
      <c r="B354" t="s">
        <v>1034</v>
      </c>
      <c r="C354" t="s">
        <v>1035</v>
      </c>
      <c r="D354" t="s">
        <v>462</v>
      </c>
      <c r="F354">
        <f>VLOOKUP(A354,Country_WorkingSheet!$A$1:$D$202,2,FALSE)</f>
        <v>114</v>
      </c>
    </row>
    <row r="355" spans="1:6" x14ac:dyDescent="0.25">
      <c r="A355" t="s">
        <v>991</v>
      </c>
      <c r="B355" t="s">
        <v>1036</v>
      </c>
      <c r="C355" t="s">
        <v>1037</v>
      </c>
      <c r="D355" t="s">
        <v>462</v>
      </c>
      <c r="F355">
        <f>VLOOKUP(A355,Country_WorkingSheet!$A$1:$D$202,2,FALSE)</f>
        <v>114</v>
      </c>
    </row>
    <row r="356" spans="1:6" x14ac:dyDescent="0.25">
      <c r="A356" t="s">
        <v>991</v>
      </c>
      <c r="B356" t="s">
        <v>1038</v>
      </c>
      <c r="C356" t="s">
        <v>1039</v>
      </c>
      <c r="D356" t="s">
        <v>462</v>
      </c>
      <c r="F356">
        <f>VLOOKUP(A356,Country_WorkingSheet!$A$1:$D$202,2,FALSE)</f>
        <v>114</v>
      </c>
    </row>
    <row r="357" spans="1:6" x14ac:dyDescent="0.25">
      <c r="A357" t="s">
        <v>991</v>
      </c>
      <c r="B357" t="s">
        <v>1040</v>
      </c>
      <c r="C357" t="s">
        <v>1041</v>
      </c>
      <c r="D357" t="s">
        <v>462</v>
      </c>
      <c r="F357">
        <f>VLOOKUP(A357,Country_WorkingSheet!$A$1:$D$202,2,FALSE)</f>
        <v>114</v>
      </c>
    </row>
    <row r="358" spans="1:6" x14ac:dyDescent="0.25">
      <c r="A358" t="s">
        <v>991</v>
      </c>
      <c r="B358" t="s">
        <v>1042</v>
      </c>
      <c r="C358" t="s">
        <v>1043</v>
      </c>
      <c r="D358" t="s">
        <v>462</v>
      </c>
      <c r="F358">
        <f>VLOOKUP(A358,Country_WorkingSheet!$A$1:$D$202,2,FALSE)</f>
        <v>114</v>
      </c>
    </row>
    <row r="359" spans="1:6" x14ac:dyDescent="0.25">
      <c r="A359" t="s">
        <v>991</v>
      </c>
      <c r="B359" t="s">
        <v>1044</v>
      </c>
      <c r="C359" t="s">
        <v>1045</v>
      </c>
      <c r="D359" t="s">
        <v>462</v>
      </c>
      <c r="F359">
        <f>VLOOKUP(A359,Country_WorkingSheet!$A$1:$D$202,2,FALSE)</f>
        <v>114</v>
      </c>
    </row>
    <row r="360" spans="1:6" x14ac:dyDescent="0.25">
      <c r="A360" t="s">
        <v>991</v>
      </c>
      <c r="B360" t="s">
        <v>1046</v>
      </c>
      <c r="C360" t="s">
        <v>1047</v>
      </c>
      <c r="D360" t="s">
        <v>462</v>
      </c>
      <c r="F360">
        <f>VLOOKUP(A360,Country_WorkingSheet!$A$1:$D$202,2,FALSE)</f>
        <v>114</v>
      </c>
    </row>
    <row r="361" spans="1:6" x14ac:dyDescent="0.25">
      <c r="A361" t="s">
        <v>991</v>
      </c>
      <c r="B361" t="s">
        <v>1048</v>
      </c>
      <c r="C361" t="s">
        <v>1049</v>
      </c>
      <c r="D361" t="s">
        <v>462</v>
      </c>
      <c r="F361">
        <f>VLOOKUP(A361,Country_WorkingSheet!$A$1:$D$202,2,FALSE)</f>
        <v>114</v>
      </c>
    </row>
    <row r="362" spans="1:6" x14ac:dyDescent="0.25">
      <c r="A362" t="s">
        <v>991</v>
      </c>
      <c r="B362" t="s">
        <v>1050</v>
      </c>
      <c r="C362" t="s">
        <v>1051</v>
      </c>
      <c r="D362" t="s">
        <v>462</v>
      </c>
      <c r="F362">
        <f>VLOOKUP(A362,Country_WorkingSheet!$A$1:$D$202,2,FALSE)</f>
        <v>114</v>
      </c>
    </row>
    <row r="363" spans="1:6" x14ac:dyDescent="0.25">
      <c r="A363" t="s">
        <v>991</v>
      </c>
      <c r="B363" t="s">
        <v>1052</v>
      </c>
      <c r="C363" t="s">
        <v>1053</v>
      </c>
      <c r="D363" t="s">
        <v>462</v>
      </c>
      <c r="F363">
        <f>VLOOKUP(A363,Country_WorkingSheet!$A$1:$D$202,2,FALSE)</f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3"/>
  <sheetViews>
    <sheetView tabSelected="1" topLeftCell="A324" workbookViewId="0">
      <selection activeCell="H344" sqref="H344"/>
    </sheetView>
  </sheetViews>
  <sheetFormatPr defaultRowHeight="15" x14ac:dyDescent="0.25"/>
  <cols>
    <col min="3" max="3" width="35.85546875" bestFit="1" customWidth="1"/>
    <col min="7" max="7" width="28.85546875" customWidth="1"/>
  </cols>
  <sheetData>
    <row r="1" spans="1:8" x14ac:dyDescent="0.25">
      <c r="A1" t="s">
        <v>404</v>
      </c>
      <c r="B1" t="s">
        <v>402</v>
      </c>
      <c r="C1" t="s">
        <v>406</v>
      </c>
      <c r="D1" t="s">
        <v>407</v>
      </c>
      <c r="E1" t="s">
        <v>408</v>
      </c>
      <c r="F1" t="s">
        <v>1247</v>
      </c>
    </row>
    <row r="2" spans="1:8" x14ac:dyDescent="0.25">
      <c r="A2">
        <v>1</v>
      </c>
      <c r="B2" t="s">
        <v>410</v>
      </c>
      <c r="C2" t="s">
        <v>411</v>
      </c>
      <c r="D2" t="s">
        <v>412</v>
      </c>
      <c r="F2">
        <v>7</v>
      </c>
      <c r="G2" t="str">
        <f>IF(E2="",B2,E2)</f>
        <v>Buenos Aires (Ciudad)</v>
      </c>
      <c r="H2" t="str">
        <f>"new Models.State() {Name = """&amp;B2&amp;""", Code =  """&amp;C2&amp;""", Id ="&amp;A2&amp;", CountryId = "&amp;F2&amp;", LocalName = """&amp;G2&amp;""", Type = """&amp;D2&amp;""" },"</f>
        <v>new Models.State() {Name = "Buenos Aires (Ciudad)", Code =  "CIUDAD AUTÓNOMA DE BUENOS AIRES", Id =1, CountryId = 7, LocalName = "Buenos Aires (Ciudad)", Type = "Province" },</v>
      </c>
    </row>
    <row r="3" spans="1:8" x14ac:dyDescent="0.25">
      <c r="A3">
        <f>1+A2</f>
        <v>2</v>
      </c>
      <c r="B3" t="s">
        <v>413</v>
      </c>
      <c r="C3" t="s">
        <v>414</v>
      </c>
      <c r="D3" t="s">
        <v>412</v>
      </c>
      <c r="F3">
        <v>7</v>
      </c>
      <c r="G3" t="str">
        <f t="shared" ref="G3:G66" si="0">IF(E3="",B3,E3)</f>
        <v>Buenos Aires (Provincia)</v>
      </c>
      <c r="H3" t="str">
        <f t="shared" ref="H3:H66" si="1">"new Models.State() {Name = """&amp;B3&amp;""", Code =  """&amp;C3&amp;""", Id ="&amp;A3&amp;", CountryId = "&amp;F3&amp;", LocalName = """&amp;G3&amp;""", Type = """&amp;D3&amp;""" },"</f>
        <v>new Models.State() {Name = "Buenos Aires (Provincia)", Code =  "BUENOS AIRES", Id =2, CountryId = 7, LocalName = "Buenos Aires (Provincia)", Type = "Province" },</v>
      </c>
    </row>
    <row r="4" spans="1:8" x14ac:dyDescent="0.25">
      <c r="A4">
        <f t="shared" ref="A4:A67" si="2">1+A3</f>
        <v>3</v>
      </c>
      <c r="B4" t="s">
        <v>415</v>
      </c>
      <c r="C4" t="s">
        <v>416</v>
      </c>
      <c r="D4" t="s">
        <v>412</v>
      </c>
      <c r="F4">
        <v>7</v>
      </c>
      <c r="G4" t="str">
        <f t="shared" si="0"/>
        <v>Catamarca</v>
      </c>
      <c r="H4" t="str">
        <f t="shared" si="1"/>
        <v>new Models.State() {Name = "Catamarca", Code =  "CATAMARCA", Id =3, CountryId = 7, LocalName = "Catamarca", Type = "Province" },</v>
      </c>
    </row>
    <row r="5" spans="1:8" x14ac:dyDescent="0.25">
      <c r="A5">
        <f t="shared" si="2"/>
        <v>4</v>
      </c>
      <c r="B5" t="s">
        <v>417</v>
      </c>
      <c r="C5" t="s">
        <v>418</v>
      </c>
      <c r="D5" t="s">
        <v>412</v>
      </c>
      <c r="F5">
        <v>7</v>
      </c>
      <c r="G5" t="str">
        <f t="shared" si="0"/>
        <v>Chaco</v>
      </c>
      <c r="H5" t="str">
        <f t="shared" si="1"/>
        <v>new Models.State() {Name = "Chaco", Code =  "CHACO", Id =4, CountryId = 7, LocalName = "Chaco", Type = "Province" },</v>
      </c>
    </row>
    <row r="6" spans="1:8" x14ac:dyDescent="0.25">
      <c r="A6">
        <f t="shared" si="2"/>
        <v>5</v>
      </c>
      <c r="B6" t="s">
        <v>419</v>
      </c>
      <c r="C6" t="s">
        <v>420</v>
      </c>
      <c r="D6" t="s">
        <v>412</v>
      </c>
      <c r="F6">
        <v>7</v>
      </c>
      <c r="G6" t="str">
        <f t="shared" si="0"/>
        <v>Chubut</v>
      </c>
      <c r="H6" t="str">
        <f t="shared" si="1"/>
        <v>new Models.State() {Name = "Chubut", Code =  "CHUBUT", Id =5, CountryId = 7, LocalName = "Chubut", Type = "Province" },</v>
      </c>
    </row>
    <row r="7" spans="1:8" x14ac:dyDescent="0.25">
      <c r="A7">
        <f t="shared" si="2"/>
        <v>6</v>
      </c>
      <c r="B7" t="s">
        <v>421</v>
      </c>
      <c r="C7" t="s">
        <v>422</v>
      </c>
      <c r="D7" t="s">
        <v>412</v>
      </c>
      <c r="F7">
        <v>7</v>
      </c>
      <c r="G7" t="str">
        <f t="shared" si="0"/>
        <v>Corrientes</v>
      </c>
      <c r="H7" t="str">
        <f t="shared" si="1"/>
        <v>new Models.State() {Name = "Corrientes", Code =  "CORRIENTES", Id =6, CountryId = 7, LocalName = "Corrientes", Type = "Province" },</v>
      </c>
    </row>
    <row r="8" spans="1:8" x14ac:dyDescent="0.25">
      <c r="A8">
        <f t="shared" si="2"/>
        <v>7</v>
      </c>
      <c r="B8" t="s">
        <v>423</v>
      </c>
      <c r="C8" t="s">
        <v>424</v>
      </c>
      <c r="D8" t="s">
        <v>412</v>
      </c>
      <c r="F8">
        <v>7</v>
      </c>
      <c r="G8" t="str">
        <f t="shared" si="0"/>
        <v>Córdoba</v>
      </c>
      <c r="H8" t="str">
        <f t="shared" si="1"/>
        <v>new Models.State() {Name = "Córdoba", Code =  "CÓRDOBA", Id =7, CountryId = 7, LocalName = "Córdoba", Type = "Province" },</v>
      </c>
    </row>
    <row r="9" spans="1:8" x14ac:dyDescent="0.25">
      <c r="A9">
        <f t="shared" si="2"/>
        <v>8</v>
      </c>
      <c r="B9" t="s">
        <v>425</v>
      </c>
      <c r="C9" t="s">
        <v>426</v>
      </c>
      <c r="D9" t="s">
        <v>412</v>
      </c>
      <c r="F9">
        <v>7</v>
      </c>
      <c r="G9" t="str">
        <f t="shared" si="0"/>
        <v>Entre Ríos</v>
      </c>
      <c r="H9" t="str">
        <f t="shared" si="1"/>
        <v>new Models.State() {Name = "Entre Ríos", Code =  "ENTRE RÍOS", Id =8, CountryId = 7, LocalName = "Entre Ríos", Type = "Province" },</v>
      </c>
    </row>
    <row r="10" spans="1:8" x14ac:dyDescent="0.25">
      <c r="A10">
        <f t="shared" si="2"/>
        <v>9</v>
      </c>
      <c r="B10" t="s">
        <v>427</v>
      </c>
      <c r="C10" t="s">
        <v>428</v>
      </c>
      <c r="D10" t="s">
        <v>412</v>
      </c>
      <c r="F10">
        <v>7</v>
      </c>
      <c r="G10" t="str">
        <f t="shared" si="0"/>
        <v>Formosa</v>
      </c>
      <c r="H10" t="str">
        <f t="shared" si="1"/>
        <v>new Models.State() {Name = "Formosa", Code =  "FORMOSA", Id =9, CountryId = 7, LocalName = "Formosa", Type = "Province" },</v>
      </c>
    </row>
    <row r="11" spans="1:8" x14ac:dyDescent="0.25">
      <c r="A11">
        <f t="shared" si="2"/>
        <v>10</v>
      </c>
      <c r="B11" t="s">
        <v>429</v>
      </c>
      <c r="C11" t="s">
        <v>430</v>
      </c>
      <c r="D11" t="s">
        <v>412</v>
      </c>
      <c r="F11">
        <v>7</v>
      </c>
      <c r="G11" t="str">
        <f t="shared" si="0"/>
        <v>Jujuy</v>
      </c>
      <c r="H11" t="str">
        <f t="shared" si="1"/>
        <v>new Models.State() {Name = "Jujuy", Code =  "JUJUY", Id =10, CountryId = 7, LocalName = "Jujuy", Type = "Province" },</v>
      </c>
    </row>
    <row r="12" spans="1:8" x14ac:dyDescent="0.25">
      <c r="A12">
        <f t="shared" si="2"/>
        <v>11</v>
      </c>
      <c r="B12" t="s">
        <v>431</v>
      </c>
      <c r="C12" t="s">
        <v>432</v>
      </c>
      <c r="D12" t="s">
        <v>412</v>
      </c>
      <c r="F12">
        <v>7</v>
      </c>
      <c r="G12" t="str">
        <f t="shared" si="0"/>
        <v>La Pampa</v>
      </c>
      <c r="H12" t="str">
        <f t="shared" si="1"/>
        <v>new Models.State() {Name = "La Pampa", Code =  "LA PAMPA", Id =11, CountryId = 7, LocalName = "La Pampa", Type = "Province" },</v>
      </c>
    </row>
    <row r="13" spans="1:8" x14ac:dyDescent="0.25">
      <c r="A13">
        <f t="shared" si="2"/>
        <v>12</v>
      </c>
      <c r="B13" t="s">
        <v>433</v>
      </c>
      <c r="C13" t="s">
        <v>434</v>
      </c>
      <c r="D13" t="s">
        <v>412</v>
      </c>
      <c r="F13">
        <v>7</v>
      </c>
      <c r="G13" t="str">
        <f t="shared" si="0"/>
        <v>La Rioja</v>
      </c>
      <c r="H13" t="str">
        <f t="shared" si="1"/>
        <v>new Models.State() {Name = "La Rioja", Code =  "LA RIOJA", Id =12, CountryId = 7, LocalName = "La Rioja", Type = "Province" },</v>
      </c>
    </row>
    <row r="14" spans="1:8" x14ac:dyDescent="0.25">
      <c r="A14">
        <f t="shared" si="2"/>
        <v>13</v>
      </c>
      <c r="B14" t="s">
        <v>435</v>
      </c>
      <c r="C14" t="s">
        <v>436</v>
      </c>
      <c r="D14" t="s">
        <v>412</v>
      </c>
      <c r="F14">
        <v>7</v>
      </c>
      <c r="G14" t="str">
        <f t="shared" si="0"/>
        <v>Mendoza</v>
      </c>
      <c r="H14" t="str">
        <f t="shared" si="1"/>
        <v>new Models.State() {Name = "Mendoza", Code =  "MENDOZA", Id =13, CountryId = 7, LocalName = "Mendoza", Type = "Province" },</v>
      </c>
    </row>
    <row r="15" spans="1:8" x14ac:dyDescent="0.25">
      <c r="A15">
        <f t="shared" si="2"/>
        <v>14</v>
      </c>
      <c r="B15" t="s">
        <v>437</v>
      </c>
      <c r="C15" t="s">
        <v>438</v>
      </c>
      <c r="D15" t="s">
        <v>412</v>
      </c>
      <c r="F15">
        <v>7</v>
      </c>
      <c r="G15" t="str">
        <f t="shared" si="0"/>
        <v>Misiones</v>
      </c>
      <c r="H15" t="str">
        <f t="shared" si="1"/>
        <v>new Models.State() {Name = "Misiones", Code =  "MISIONES", Id =14, CountryId = 7, LocalName = "Misiones", Type = "Province" },</v>
      </c>
    </row>
    <row r="16" spans="1:8" x14ac:dyDescent="0.25">
      <c r="A16">
        <f t="shared" si="2"/>
        <v>15</v>
      </c>
      <c r="B16" t="s">
        <v>439</v>
      </c>
      <c r="C16" t="s">
        <v>440</v>
      </c>
      <c r="D16" t="s">
        <v>412</v>
      </c>
      <c r="F16">
        <v>7</v>
      </c>
      <c r="G16" t="str">
        <f t="shared" si="0"/>
        <v>Neuquén</v>
      </c>
      <c r="H16" t="str">
        <f t="shared" si="1"/>
        <v>new Models.State() {Name = "Neuquén", Code =  "NEUQUÉN", Id =15, CountryId = 7, LocalName = "Neuquén", Type = "Province" },</v>
      </c>
    </row>
    <row r="17" spans="1:8" x14ac:dyDescent="0.25">
      <c r="A17">
        <f t="shared" si="2"/>
        <v>16</v>
      </c>
      <c r="B17" t="s">
        <v>441</v>
      </c>
      <c r="C17" t="s">
        <v>442</v>
      </c>
      <c r="D17" t="s">
        <v>412</v>
      </c>
      <c r="F17">
        <v>7</v>
      </c>
      <c r="G17" t="str">
        <f t="shared" si="0"/>
        <v>Río Negro</v>
      </c>
      <c r="H17" t="str">
        <f t="shared" si="1"/>
        <v>new Models.State() {Name = "Río Negro", Code =  "RÍO NEGRO", Id =16, CountryId = 7, LocalName = "Río Negro", Type = "Province" },</v>
      </c>
    </row>
    <row r="18" spans="1:8" x14ac:dyDescent="0.25">
      <c r="A18">
        <f t="shared" si="2"/>
        <v>17</v>
      </c>
      <c r="B18" t="s">
        <v>443</v>
      </c>
      <c r="C18" t="s">
        <v>444</v>
      </c>
      <c r="D18" t="s">
        <v>412</v>
      </c>
      <c r="F18">
        <v>7</v>
      </c>
      <c r="G18" t="str">
        <f t="shared" si="0"/>
        <v>Salta</v>
      </c>
      <c r="H18" t="str">
        <f t="shared" si="1"/>
        <v>new Models.State() {Name = "Salta", Code =  "SALTA", Id =17, CountryId = 7, LocalName = "Salta", Type = "Province" },</v>
      </c>
    </row>
    <row r="19" spans="1:8" x14ac:dyDescent="0.25">
      <c r="A19">
        <f t="shared" si="2"/>
        <v>18</v>
      </c>
      <c r="B19" t="s">
        <v>445</v>
      </c>
      <c r="C19" t="s">
        <v>446</v>
      </c>
      <c r="D19" t="s">
        <v>412</v>
      </c>
      <c r="F19">
        <v>7</v>
      </c>
      <c r="G19" t="str">
        <f t="shared" si="0"/>
        <v>San Juan</v>
      </c>
      <c r="H19" t="str">
        <f t="shared" si="1"/>
        <v>new Models.State() {Name = "San Juan", Code =  "SAN JUAN", Id =18, CountryId = 7, LocalName = "San Juan", Type = "Province" },</v>
      </c>
    </row>
    <row r="20" spans="1:8" x14ac:dyDescent="0.25">
      <c r="A20">
        <f t="shared" si="2"/>
        <v>19</v>
      </c>
      <c r="B20" t="s">
        <v>447</v>
      </c>
      <c r="C20" t="s">
        <v>448</v>
      </c>
      <c r="D20" t="s">
        <v>412</v>
      </c>
      <c r="F20">
        <v>7</v>
      </c>
      <c r="G20" t="str">
        <f t="shared" si="0"/>
        <v>San Luis</v>
      </c>
      <c r="H20" t="str">
        <f t="shared" si="1"/>
        <v>new Models.State() {Name = "San Luis", Code =  "SAN LUIS", Id =19, CountryId = 7, LocalName = "San Luis", Type = "Province" },</v>
      </c>
    </row>
    <row r="21" spans="1:8" x14ac:dyDescent="0.25">
      <c r="A21">
        <f t="shared" si="2"/>
        <v>20</v>
      </c>
      <c r="B21" t="s">
        <v>449</v>
      </c>
      <c r="C21" t="s">
        <v>450</v>
      </c>
      <c r="D21" t="s">
        <v>412</v>
      </c>
      <c r="F21">
        <v>7</v>
      </c>
      <c r="G21" t="str">
        <f t="shared" si="0"/>
        <v>Santa Cruz</v>
      </c>
      <c r="H21" t="str">
        <f t="shared" si="1"/>
        <v>new Models.State() {Name = "Santa Cruz", Code =  "SANTA CRUZ", Id =20, CountryId = 7, LocalName = "Santa Cruz", Type = "Province" },</v>
      </c>
    </row>
    <row r="22" spans="1:8" x14ac:dyDescent="0.25">
      <c r="A22">
        <f t="shared" si="2"/>
        <v>21</v>
      </c>
      <c r="B22" t="s">
        <v>451</v>
      </c>
      <c r="C22" t="s">
        <v>452</v>
      </c>
      <c r="D22" t="s">
        <v>412</v>
      </c>
      <c r="F22">
        <v>7</v>
      </c>
      <c r="G22" t="str">
        <f t="shared" si="0"/>
        <v>Santa Fe</v>
      </c>
      <c r="H22" t="str">
        <f t="shared" si="1"/>
        <v>new Models.State() {Name = "Santa Fe", Code =  "SANTA FE", Id =21, CountryId = 7, LocalName = "Santa Fe", Type = "Province" },</v>
      </c>
    </row>
    <row r="23" spans="1:8" x14ac:dyDescent="0.25">
      <c r="A23">
        <f t="shared" si="2"/>
        <v>22</v>
      </c>
      <c r="B23" t="s">
        <v>453</v>
      </c>
      <c r="C23" t="s">
        <v>454</v>
      </c>
      <c r="D23" t="s">
        <v>412</v>
      </c>
      <c r="F23">
        <v>7</v>
      </c>
      <c r="G23" t="str">
        <f t="shared" si="0"/>
        <v>Santiago del Estero</v>
      </c>
      <c r="H23" t="str">
        <f t="shared" si="1"/>
        <v>new Models.State() {Name = "Santiago del Estero", Code =  "SANTIAGO DEL ESTERO", Id =22, CountryId = 7, LocalName = "Santiago del Estero", Type = "Province" },</v>
      </c>
    </row>
    <row r="24" spans="1:8" x14ac:dyDescent="0.25">
      <c r="A24">
        <f t="shared" si="2"/>
        <v>23</v>
      </c>
      <c r="B24" t="s">
        <v>455</v>
      </c>
      <c r="C24" t="s">
        <v>456</v>
      </c>
      <c r="D24" t="s">
        <v>412</v>
      </c>
      <c r="F24">
        <v>7</v>
      </c>
      <c r="G24" t="str">
        <f t="shared" si="0"/>
        <v>Tierra del Fuego</v>
      </c>
      <c r="H24" t="str">
        <f t="shared" si="1"/>
        <v>new Models.State() {Name = "Tierra del Fuego", Code =  "TIERRA DEL FUEGO", Id =23, CountryId = 7, LocalName = "Tierra del Fuego", Type = "Province" },</v>
      </c>
    </row>
    <row r="25" spans="1:8" x14ac:dyDescent="0.25">
      <c r="A25">
        <f t="shared" si="2"/>
        <v>24</v>
      </c>
      <c r="B25" t="s">
        <v>457</v>
      </c>
      <c r="C25" t="s">
        <v>458</v>
      </c>
      <c r="D25" t="s">
        <v>412</v>
      </c>
      <c r="F25">
        <v>7</v>
      </c>
      <c r="G25" t="str">
        <f t="shared" si="0"/>
        <v>Tucumán</v>
      </c>
      <c r="H25" t="str">
        <f t="shared" si="1"/>
        <v>new Models.State() {Name = "Tucumán", Code =  "TUCUMÁN", Id =24, CountryId = 7, LocalName = "Tucumán", Type = "Province" },</v>
      </c>
    </row>
    <row r="26" spans="1:8" x14ac:dyDescent="0.25">
      <c r="A26">
        <f t="shared" si="2"/>
        <v>25</v>
      </c>
      <c r="B26" t="s">
        <v>460</v>
      </c>
      <c r="C26" t="s">
        <v>461</v>
      </c>
      <c r="D26" t="s">
        <v>462</v>
      </c>
      <c r="F26">
        <v>25</v>
      </c>
      <c r="G26" t="str">
        <f t="shared" si="0"/>
        <v>Acre</v>
      </c>
      <c r="H26" t="str">
        <f t="shared" si="1"/>
        <v>new Models.State() {Name = "Acre", Code =  "AC", Id =25, CountryId = 25, LocalName = "Acre", Type = "State" },</v>
      </c>
    </row>
    <row r="27" spans="1:8" x14ac:dyDescent="0.25">
      <c r="A27">
        <f t="shared" si="2"/>
        <v>26</v>
      </c>
      <c r="B27" t="s">
        <v>463</v>
      </c>
      <c r="C27" t="s">
        <v>1</v>
      </c>
      <c r="D27" t="s">
        <v>462</v>
      </c>
      <c r="F27">
        <v>25</v>
      </c>
      <c r="G27" t="str">
        <f t="shared" si="0"/>
        <v>Alagoas</v>
      </c>
      <c r="H27" t="str">
        <f t="shared" si="1"/>
        <v>new Models.State() {Name = "Alagoas", Code =  "AL", Id =26, CountryId = 25, LocalName = "Alagoas", Type = "State" },</v>
      </c>
    </row>
    <row r="28" spans="1:8" x14ac:dyDescent="0.25">
      <c r="A28">
        <f t="shared" si="2"/>
        <v>27</v>
      </c>
      <c r="B28" t="s">
        <v>464</v>
      </c>
      <c r="C28" t="s">
        <v>465</v>
      </c>
      <c r="D28" t="s">
        <v>462</v>
      </c>
      <c r="F28">
        <v>25</v>
      </c>
      <c r="G28" t="str">
        <f t="shared" si="0"/>
        <v>Amapá</v>
      </c>
      <c r="H28" t="str">
        <f t="shared" si="1"/>
        <v>new Models.State() {Name = "Amapá", Code =  "AP", Id =27, CountryId = 25, LocalName = "Amapá", Type = "State" },</v>
      </c>
    </row>
    <row r="29" spans="1:8" x14ac:dyDescent="0.25">
      <c r="A29">
        <f t="shared" si="2"/>
        <v>28</v>
      </c>
      <c r="B29" t="s">
        <v>466</v>
      </c>
      <c r="C29" t="s">
        <v>15</v>
      </c>
      <c r="D29" t="s">
        <v>462</v>
      </c>
      <c r="F29">
        <v>25</v>
      </c>
      <c r="G29" t="str">
        <f t="shared" si="0"/>
        <v>Amazonas</v>
      </c>
      <c r="H29" t="str">
        <f t="shared" si="1"/>
        <v>new Models.State() {Name = "Amazonas", Code =  "AM", Id =28, CountryId = 25, LocalName = "Amazonas", Type = "State" },</v>
      </c>
    </row>
    <row r="30" spans="1:8" x14ac:dyDescent="0.25">
      <c r="A30">
        <f t="shared" si="2"/>
        <v>29</v>
      </c>
      <c r="B30" t="s">
        <v>467</v>
      </c>
      <c r="C30" t="s">
        <v>45</v>
      </c>
      <c r="D30" t="s">
        <v>462</v>
      </c>
      <c r="F30">
        <v>25</v>
      </c>
      <c r="G30" t="str">
        <f t="shared" si="0"/>
        <v>Bahia</v>
      </c>
      <c r="H30" t="str">
        <f t="shared" si="1"/>
        <v>new Models.State() {Name = "Bahia", Code =  "BA", Id =29, CountryId = 25, LocalName = "Bahia", Type = "State" },</v>
      </c>
    </row>
    <row r="31" spans="1:8" x14ac:dyDescent="0.25">
      <c r="A31">
        <f t="shared" si="2"/>
        <v>30</v>
      </c>
      <c r="B31" t="s">
        <v>468</v>
      </c>
      <c r="C31" t="s">
        <v>469</v>
      </c>
      <c r="D31" t="s">
        <v>462</v>
      </c>
      <c r="F31">
        <v>25</v>
      </c>
      <c r="G31" t="str">
        <f t="shared" si="0"/>
        <v>Ceará</v>
      </c>
      <c r="H31" t="str">
        <f t="shared" si="1"/>
        <v>new Models.State() {Name = "Ceará", Code =  "CE", Id =30, CountryId = 25, LocalName = "Ceará", Type = "State" },</v>
      </c>
    </row>
    <row r="32" spans="1:8" x14ac:dyDescent="0.25">
      <c r="A32">
        <f t="shared" si="2"/>
        <v>31</v>
      </c>
      <c r="B32" t="s">
        <v>470</v>
      </c>
      <c r="C32" t="s">
        <v>471</v>
      </c>
      <c r="D32" t="s">
        <v>462</v>
      </c>
      <c r="F32">
        <v>25</v>
      </c>
      <c r="G32" t="str">
        <f t="shared" si="0"/>
        <v>Distrito Federal</v>
      </c>
      <c r="H32" t="str">
        <f t="shared" si="1"/>
        <v>new Models.State() {Name = "Distrito Federal", Code =  "DF", Id =31, CountryId = 25, LocalName = "Distrito Federal", Type = "State" },</v>
      </c>
    </row>
    <row r="33" spans="1:8" x14ac:dyDescent="0.25">
      <c r="A33">
        <f t="shared" si="2"/>
        <v>32</v>
      </c>
      <c r="B33" t="s">
        <v>472</v>
      </c>
      <c r="C33" t="s">
        <v>329</v>
      </c>
      <c r="D33" t="s">
        <v>462</v>
      </c>
      <c r="F33">
        <v>25</v>
      </c>
      <c r="G33" t="str">
        <f t="shared" si="0"/>
        <v>Espírito Santo</v>
      </c>
      <c r="H33" t="str">
        <f t="shared" si="1"/>
        <v>new Models.State() {Name = "Espírito Santo", Code =  "ES", Id =32, CountryId = 25, LocalName = "Espírito Santo", Type = "State" },</v>
      </c>
    </row>
    <row r="34" spans="1:8" x14ac:dyDescent="0.25">
      <c r="A34">
        <f t="shared" si="2"/>
        <v>33</v>
      </c>
      <c r="B34" t="s">
        <v>473</v>
      </c>
      <c r="C34" t="s">
        <v>474</v>
      </c>
      <c r="D34" t="s">
        <v>462</v>
      </c>
      <c r="F34">
        <v>25</v>
      </c>
      <c r="G34" t="str">
        <f t="shared" si="0"/>
        <v>Goiás</v>
      </c>
      <c r="H34" t="str">
        <f t="shared" si="1"/>
        <v>new Models.State() {Name = "Goiás", Code =  "GO", Id =33, CountryId = 25, LocalName = "Goiás", Type = "State" },</v>
      </c>
    </row>
    <row r="35" spans="1:8" x14ac:dyDescent="0.25">
      <c r="A35">
        <f t="shared" si="2"/>
        <v>34</v>
      </c>
      <c r="B35" t="s">
        <v>475</v>
      </c>
      <c r="C35" t="s">
        <v>241</v>
      </c>
      <c r="D35" t="s">
        <v>462</v>
      </c>
      <c r="F35">
        <v>25</v>
      </c>
      <c r="G35" t="str">
        <f t="shared" si="0"/>
        <v>Maranhão</v>
      </c>
      <c r="H35" t="str">
        <f t="shared" si="1"/>
        <v>new Models.State() {Name = "Maranhão", Code =  "MA", Id =34, CountryId = 25, LocalName = "Maranhão", Type = "State" },</v>
      </c>
    </row>
    <row r="36" spans="1:8" x14ac:dyDescent="0.25">
      <c r="A36">
        <f t="shared" si="2"/>
        <v>35</v>
      </c>
      <c r="B36" t="s">
        <v>476</v>
      </c>
      <c r="C36" t="s">
        <v>215</v>
      </c>
      <c r="D36" t="s">
        <v>462</v>
      </c>
      <c r="F36">
        <v>25</v>
      </c>
      <c r="G36" t="str">
        <f t="shared" si="0"/>
        <v>Mato Grosso</v>
      </c>
      <c r="H36" t="str">
        <f t="shared" si="1"/>
        <v>new Models.State() {Name = "Mato Grosso", Code =  "MT", Id =35, CountryId = 25, LocalName = "Mato Grosso", Type = "State" },</v>
      </c>
    </row>
    <row r="37" spans="1:8" x14ac:dyDescent="0.25">
      <c r="A37">
        <f t="shared" si="2"/>
        <v>36</v>
      </c>
      <c r="B37" t="s">
        <v>477</v>
      </c>
      <c r="C37" t="s">
        <v>239</v>
      </c>
      <c r="D37" t="s">
        <v>462</v>
      </c>
      <c r="F37">
        <v>25</v>
      </c>
      <c r="G37" t="str">
        <f t="shared" si="0"/>
        <v>Mato Grosso do Sul</v>
      </c>
      <c r="H37" t="str">
        <f t="shared" si="1"/>
        <v>new Models.State() {Name = "Mato Grosso do Sul", Code =  "MS", Id =36, CountryId = 25, LocalName = "Mato Grosso do Sul", Type = "State" },</v>
      </c>
    </row>
    <row r="38" spans="1:8" x14ac:dyDescent="0.25">
      <c r="A38">
        <f t="shared" si="2"/>
        <v>37</v>
      </c>
      <c r="B38" t="s">
        <v>478</v>
      </c>
      <c r="C38" t="s">
        <v>205</v>
      </c>
      <c r="D38" t="s">
        <v>462</v>
      </c>
      <c r="F38">
        <v>25</v>
      </c>
      <c r="G38" t="str">
        <f t="shared" si="0"/>
        <v>Minas Gerais</v>
      </c>
      <c r="H38" t="str">
        <f t="shared" si="1"/>
        <v>new Models.State() {Name = "Minas Gerais", Code =  "MG", Id =37, CountryId = 25, LocalName = "Minas Gerais", Type = "State" },</v>
      </c>
    </row>
    <row r="39" spans="1:8" x14ac:dyDescent="0.25">
      <c r="A39">
        <f t="shared" si="2"/>
        <v>38</v>
      </c>
      <c r="B39" t="s">
        <v>479</v>
      </c>
      <c r="C39" t="s">
        <v>480</v>
      </c>
      <c r="D39" t="s">
        <v>462</v>
      </c>
      <c r="F39">
        <v>25</v>
      </c>
      <c r="G39" t="str">
        <f t="shared" si="0"/>
        <v>Paraná</v>
      </c>
      <c r="H39" t="str">
        <f t="shared" si="1"/>
        <v>new Models.State() {Name = "Paraná", Code =  "PR", Id =38, CountryId = 25, LocalName = "Paraná", Type = "State" },</v>
      </c>
    </row>
    <row r="40" spans="1:8" x14ac:dyDescent="0.25">
      <c r="A40">
        <f t="shared" si="2"/>
        <v>39</v>
      </c>
      <c r="B40" t="s">
        <v>481</v>
      </c>
      <c r="C40" t="s">
        <v>482</v>
      </c>
      <c r="D40" t="s">
        <v>462</v>
      </c>
      <c r="F40">
        <v>25</v>
      </c>
      <c r="G40" t="str">
        <f t="shared" si="0"/>
        <v>Paraíba</v>
      </c>
      <c r="H40" t="str">
        <f t="shared" si="1"/>
        <v>new Models.State() {Name = "Paraíba", Code =  "PB", Id =39, CountryId = 25, LocalName = "Paraíba", Type = "State" },</v>
      </c>
    </row>
    <row r="41" spans="1:8" x14ac:dyDescent="0.25">
      <c r="A41">
        <f t="shared" si="2"/>
        <v>40</v>
      </c>
      <c r="B41" t="s">
        <v>483</v>
      </c>
      <c r="C41" t="s">
        <v>273</v>
      </c>
      <c r="D41" t="s">
        <v>462</v>
      </c>
      <c r="F41">
        <v>25</v>
      </c>
      <c r="G41" t="str">
        <f t="shared" si="0"/>
        <v>Pará</v>
      </c>
      <c r="H41" t="str">
        <f t="shared" si="1"/>
        <v>new Models.State() {Name = "Pará", Code =  "PA", Id =40, CountryId = 25, LocalName = "Pará", Type = "State" },</v>
      </c>
    </row>
    <row r="42" spans="1:8" x14ac:dyDescent="0.25">
      <c r="A42">
        <f t="shared" si="2"/>
        <v>41</v>
      </c>
      <c r="B42" t="s">
        <v>484</v>
      </c>
      <c r="C42" t="s">
        <v>279</v>
      </c>
      <c r="D42" t="s">
        <v>462</v>
      </c>
      <c r="F42">
        <v>25</v>
      </c>
      <c r="G42" t="str">
        <f t="shared" si="0"/>
        <v>Pernambuco</v>
      </c>
      <c r="H42" t="str">
        <f t="shared" si="1"/>
        <v>new Models.State() {Name = "Pernambuco", Code =  "PE", Id =41, CountryId = 25, LocalName = "Pernambuco", Type = "State" },</v>
      </c>
    </row>
    <row r="43" spans="1:8" x14ac:dyDescent="0.25">
      <c r="A43">
        <f t="shared" si="2"/>
        <v>42</v>
      </c>
      <c r="B43" t="s">
        <v>485</v>
      </c>
      <c r="C43" t="s">
        <v>486</v>
      </c>
      <c r="D43" t="s">
        <v>462</v>
      </c>
      <c r="F43">
        <v>25</v>
      </c>
      <c r="G43" t="str">
        <f t="shared" si="0"/>
        <v>Piauí</v>
      </c>
      <c r="H43" t="str">
        <f t="shared" si="1"/>
        <v>new Models.State() {Name = "Piauí", Code =  "PI", Id =42, CountryId = 25, LocalName = "Piauí", Type = "State" },</v>
      </c>
    </row>
    <row r="44" spans="1:8" x14ac:dyDescent="0.25">
      <c r="A44">
        <f t="shared" si="2"/>
        <v>43</v>
      </c>
      <c r="B44" t="s">
        <v>487</v>
      </c>
      <c r="C44" t="s">
        <v>488</v>
      </c>
      <c r="D44" t="s">
        <v>462</v>
      </c>
      <c r="F44">
        <v>25</v>
      </c>
      <c r="G44" t="str">
        <f t="shared" si="0"/>
        <v>Rio Grande do Norte</v>
      </c>
      <c r="H44" t="str">
        <f t="shared" si="1"/>
        <v>new Models.State() {Name = "Rio Grande do Norte", Code =  "RN", Id =43, CountryId = 25, LocalName = "Rio Grande do Norte", Type = "State" },</v>
      </c>
    </row>
    <row r="45" spans="1:8" x14ac:dyDescent="0.25">
      <c r="A45">
        <f t="shared" si="2"/>
        <v>44</v>
      </c>
      <c r="B45" t="s">
        <v>489</v>
      </c>
      <c r="C45" t="s">
        <v>309</v>
      </c>
      <c r="D45" t="s">
        <v>462</v>
      </c>
      <c r="F45">
        <v>25</v>
      </c>
      <c r="G45" t="str">
        <f t="shared" si="0"/>
        <v>Rio Grande do Sul</v>
      </c>
      <c r="H45" t="str">
        <f t="shared" si="1"/>
        <v>new Models.State() {Name = "Rio Grande do Sul", Code =  "RS", Id =44, CountryId = 25, LocalName = "Rio Grande do Sul", Type = "State" },</v>
      </c>
    </row>
    <row r="46" spans="1:8" x14ac:dyDescent="0.25">
      <c r="A46">
        <f t="shared" si="2"/>
        <v>45</v>
      </c>
      <c r="B46" t="s">
        <v>490</v>
      </c>
      <c r="C46" t="s">
        <v>491</v>
      </c>
      <c r="D46" t="s">
        <v>462</v>
      </c>
      <c r="F46">
        <v>25</v>
      </c>
      <c r="G46" t="str">
        <f t="shared" si="0"/>
        <v>Rio de Janeiro</v>
      </c>
      <c r="H46" t="str">
        <f t="shared" si="1"/>
        <v>new Models.State() {Name = "Rio de Janeiro", Code =  "RJ", Id =45, CountryId = 25, LocalName = "Rio de Janeiro", Type = "State" },</v>
      </c>
    </row>
    <row r="47" spans="1:8" x14ac:dyDescent="0.25">
      <c r="A47">
        <f t="shared" si="2"/>
        <v>46</v>
      </c>
      <c r="B47" t="s">
        <v>492</v>
      </c>
      <c r="C47" t="s">
        <v>293</v>
      </c>
      <c r="D47" t="s">
        <v>462</v>
      </c>
      <c r="F47">
        <v>25</v>
      </c>
      <c r="G47" t="str">
        <f t="shared" si="0"/>
        <v>Rondônia</v>
      </c>
      <c r="H47" t="str">
        <f t="shared" si="1"/>
        <v>new Models.State() {Name = "Rondônia", Code =  "RO", Id =46, CountryId = 25, LocalName = "Rondônia", Type = "State" },</v>
      </c>
    </row>
    <row r="48" spans="1:8" x14ac:dyDescent="0.25">
      <c r="A48">
        <f t="shared" si="2"/>
        <v>47</v>
      </c>
      <c r="B48" t="s">
        <v>493</v>
      </c>
      <c r="C48" t="s">
        <v>494</v>
      </c>
      <c r="D48" t="s">
        <v>462</v>
      </c>
      <c r="F48">
        <v>25</v>
      </c>
      <c r="G48" t="str">
        <f t="shared" si="0"/>
        <v>Roraima</v>
      </c>
      <c r="H48" t="str">
        <f t="shared" si="1"/>
        <v>new Models.State() {Name = "Roraima", Code =  "RR", Id =47, CountryId = 25, LocalName = "Roraima", Type = "State" },</v>
      </c>
    </row>
    <row r="49" spans="1:8" x14ac:dyDescent="0.25">
      <c r="A49">
        <f t="shared" si="2"/>
        <v>48</v>
      </c>
      <c r="B49" t="s">
        <v>495</v>
      </c>
      <c r="C49" t="s">
        <v>311</v>
      </c>
      <c r="D49" t="s">
        <v>462</v>
      </c>
      <c r="F49">
        <v>25</v>
      </c>
      <c r="G49" t="str">
        <f t="shared" si="0"/>
        <v>Santa Catarina</v>
      </c>
      <c r="H49" t="str">
        <f t="shared" si="1"/>
        <v>new Models.State() {Name = "Santa Catarina", Code =  "SC", Id =48, CountryId = 25, LocalName = "Santa Catarina", Type = "State" },</v>
      </c>
    </row>
    <row r="50" spans="1:8" x14ac:dyDescent="0.25">
      <c r="A50">
        <f t="shared" si="2"/>
        <v>49</v>
      </c>
      <c r="B50" t="s">
        <v>496</v>
      </c>
      <c r="C50" t="s">
        <v>349</v>
      </c>
      <c r="D50" t="s">
        <v>462</v>
      </c>
      <c r="F50">
        <v>25</v>
      </c>
      <c r="G50" t="str">
        <f t="shared" si="0"/>
        <v>Sergipe</v>
      </c>
      <c r="H50" t="str">
        <f t="shared" si="1"/>
        <v>new Models.State() {Name = "Sergipe", Code =  "SE", Id =49, CountryId = 25, LocalName = "Sergipe", Type = "State" },</v>
      </c>
    </row>
    <row r="51" spans="1:8" x14ac:dyDescent="0.25">
      <c r="A51">
        <f t="shared" si="2"/>
        <v>50</v>
      </c>
      <c r="B51" t="s">
        <v>497</v>
      </c>
      <c r="C51" t="s">
        <v>498</v>
      </c>
      <c r="D51" t="s">
        <v>462</v>
      </c>
      <c r="F51">
        <v>25</v>
      </c>
      <c r="G51" t="str">
        <f t="shared" si="0"/>
        <v>São Paulo</v>
      </c>
      <c r="H51" t="str">
        <f t="shared" si="1"/>
        <v>new Models.State() {Name = "São Paulo", Code =  "SP", Id =50, CountryId = 25, LocalName = "São Paulo", Type = "State" },</v>
      </c>
    </row>
    <row r="52" spans="1:8" x14ac:dyDescent="0.25">
      <c r="A52">
        <f t="shared" si="2"/>
        <v>51</v>
      </c>
      <c r="B52" t="s">
        <v>499</v>
      </c>
      <c r="C52" t="s">
        <v>363</v>
      </c>
      <c r="D52" t="s">
        <v>462</v>
      </c>
      <c r="F52">
        <v>25</v>
      </c>
      <c r="G52" t="str">
        <f t="shared" si="0"/>
        <v>Tocantins</v>
      </c>
      <c r="H52" t="str">
        <f t="shared" si="1"/>
        <v>new Models.State() {Name = "Tocantins", Code =  "TO", Id =51, CountryId = 25, LocalName = "Tocantins", Type = "State" },</v>
      </c>
    </row>
    <row r="53" spans="1:8" x14ac:dyDescent="0.25">
      <c r="A53">
        <f t="shared" si="2"/>
        <v>52</v>
      </c>
      <c r="B53" t="s">
        <v>501</v>
      </c>
      <c r="C53" t="s">
        <v>502</v>
      </c>
      <c r="D53" t="s">
        <v>412</v>
      </c>
      <c r="F53">
        <v>33</v>
      </c>
      <c r="G53" t="str">
        <f t="shared" si="0"/>
        <v>Alberta</v>
      </c>
      <c r="H53" t="str">
        <f t="shared" si="1"/>
        <v>new Models.State() {Name = "Alberta", Code =  "AB", Id =52, CountryId = 33, LocalName = "Alberta", Type = "Province" },</v>
      </c>
    </row>
    <row r="54" spans="1:8" x14ac:dyDescent="0.25">
      <c r="A54">
        <f t="shared" si="2"/>
        <v>53</v>
      </c>
      <c r="B54" t="s">
        <v>503</v>
      </c>
      <c r="C54" t="s">
        <v>504</v>
      </c>
      <c r="D54" t="s">
        <v>412</v>
      </c>
      <c r="F54">
        <v>33</v>
      </c>
      <c r="G54" t="str">
        <f t="shared" si="0"/>
        <v>British Columbia</v>
      </c>
      <c r="H54" t="str">
        <f t="shared" si="1"/>
        <v>new Models.State() {Name = "British Columbia", Code =  "BC", Id =53, CountryId = 33, LocalName = "British Columbia", Type = "Province" },</v>
      </c>
    </row>
    <row r="55" spans="1:8" x14ac:dyDescent="0.25">
      <c r="A55">
        <f t="shared" si="2"/>
        <v>54</v>
      </c>
      <c r="B55" t="s">
        <v>505</v>
      </c>
      <c r="C55" t="s">
        <v>506</v>
      </c>
      <c r="D55" t="s">
        <v>412</v>
      </c>
      <c r="F55">
        <v>33</v>
      </c>
      <c r="G55" t="str">
        <f t="shared" si="0"/>
        <v>Manitoba</v>
      </c>
      <c r="H55" t="str">
        <f t="shared" si="1"/>
        <v>new Models.State() {Name = "Manitoba", Code =  "MB", Id =54, CountryId = 33, LocalName = "Manitoba", Type = "Province" },</v>
      </c>
    </row>
    <row r="56" spans="1:8" x14ac:dyDescent="0.25">
      <c r="A56">
        <f t="shared" si="2"/>
        <v>55</v>
      </c>
      <c r="B56" t="s">
        <v>507</v>
      </c>
      <c r="C56" t="s">
        <v>508</v>
      </c>
      <c r="D56" t="s">
        <v>412</v>
      </c>
      <c r="F56">
        <v>33</v>
      </c>
      <c r="G56" t="str">
        <f t="shared" si="0"/>
        <v>New Brunswick</v>
      </c>
      <c r="H56" t="str">
        <f t="shared" si="1"/>
        <v>new Models.State() {Name = "New Brunswick", Code =  "NB", Id =55, CountryId = 33, LocalName = "New Brunswick", Type = "Province" },</v>
      </c>
    </row>
    <row r="57" spans="1:8" x14ac:dyDescent="0.25">
      <c r="A57">
        <f t="shared" si="2"/>
        <v>56</v>
      </c>
      <c r="B57" t="s">
        <v>509</v>
      </c>
      <c r="C57" t="s">
        <v>251</v>
      </c>
      <c r="D57" t="s">
        <v>412</v>
      </c>
      <c r="F57">
        <v>33</v>
      </c>
      <c r="G57" t="str">
        <f t="shared" si="0"/>
        <v>Newfoundland and Labrador</v>
      </c>
      <c r="H57" t="str">
        <f t="shared" si="1"/>
        <v>new Models.State() {Name = "Newfoundland and Labrador", Code =  "NL", Id =56, CountryId = 33, LocalName = "Newfoundland and Labrador", Type = "Province" },</v>
      </c>
    </row>
    <row r="58" spans="1:8" x14ac:dyDescent="0.25">
      <c r="A58">
        <f t="shared" si="2"/>
        <v>57</v>
      </c>
      <c r="B58" t="s">
        <v>510</v>
      </c>
      <c r="C58" t="s">
        <v>511</v>
      </c>
      <c r="D58" t="s">
        <v>412</v>
      </c>
      <c r="F58">
        <v>33</v>
      </c>
      <c r="G58" t="str">
        <f t="shared" si="0"/>
        <v>Northwest Territories</v>
      </c>
      <c r="H58" t="str">
        <f t="shared" si="1"/>
        <v>new Models.State() {Name = "Northwest Territories", Code =  "NT", Id =57, CountryId = 33, LocalName = "Northwest Territories", Type = "Province" },</v>
      </c>
    </row>
    <row r="59" spans="1:8" x14ac:dyDescent="0.25">
      <c r="A59">
        <f t="shared" si="2"/>
        <v>58</v>
      </c>
      <c r="B59" t="s">
        <v>512</v>
      </c>
      <c r="C59" t="s">
        <v>513</v>
      </c>
      <c r="D59" t="s">
        <v>412</v>
      </c>
      <c r="F59">
        <v>33</v>
      </c>
      <c r="G59" t="str">
        <f t="shared" si="0"/>
        <v>Nova Scotia</v>
      </c>
      <c r="H59" t="str">
        <f t="shared" si="1"/>
        <v>new Models.State() {Name = "Nova Scotia", Code =  "NS", Id =58, CountryId = 33, LocalName = "Nova Scotia", Type = "Province" },</v>
      </c>
    </row>
    <row r="60" spans="1:8" x14ac:dyDescent="0.25">
      <c r="A60">
        <f t="shared" si="2"/>
        <v>59</v>
      </c>
      <c r="B60" t="s">
        <v>514</v>
      </c>
      <c r="C60" t="s">
        <v>263</v>
      </c>
      <c r="D60" t="s">
        <v>412</v>
      </c>
      <c r="F60">
        <v>33</v>
      </c>
      <c r="G60" t="str">
        <f t="shared" si="0"/>
        <v>Nunavut</v>
      </c>
      <c r="H60" t="str">
        <f t="shared" si="1"/>
        <v>new Models.State() {Name = "Nunavut", Code =  "NU", Id =59, CountryId = 33, LocalName = "Nunavut", Type = "Province" },</v>
      </c>
    </row>
    <row r="61" spans="1:8" x14ac:dyDescent="0.25">
      <c r="A61">
        <f t="shared" si="2"/>
        <v>60</v>
      </c>
      <c r="B61" t="s">
        <v>515</v>
      </c>
      <c r="C61" t="s">
        <v>516</v>
      </c>
      <c r="D61" t="s">
        <v>412</v>
      </c>
      <c r="F61">
        <v>33</v>
      </c>
      <c r="G61" t="str">
        <f t="shared" si="0"/>
        <v>Ontario</v>
      </c>
      <c r="H61" t="str">
        <f t="shared" si="1"/>
        <v>new Models.State() {Name = "Ontario", Code =  "ON", Id =60, CountryId = 33, LocalName = "Ontario", Type = "Province" },</v>
      </c>
    </row>
    <row r="62" spans="1:8" x14ac:dyDescent="0.25">
      <c r="A62">
        <f t="shared" si="2"/>
        <v>61</v>
      </c>
      <c r="B62" t="s">
        <v>517</v>
      </c>
      <c r="C62" t="s">
        <v>279</v>
      </c>
      <c r="D62" t="s">
        <v>412</v>
      </c>
      <c r="F62">
        <v>33</v>
      </c>
      <c r="G62" t="str">
        <f t="shared" si="0"/>
        <v>Prince Edward Island</v>
      </c>
      <c r="H62" t="str">
        <f t="shared" si="1"/>
        <v>new Models.State() {Name = "Prince Edward Island", Code =  "PE", Id =61, CountryId = 33, LocalName = "Prince Edward Island", Type = "Province" },</v>
      </c>
    </row>
    <row r="63" spans="1:8" x14ac:dyDescent="0.25">
      <c r="A63">
        <f t="shared" si="2"/>
        <v>62</v>
      </c>
      <c r="B63" t="s">
        <v>518</v>
      </c>
      <c r="C63" t="s">
        <v>519</v>
      </c>
      <c r="D63" t="s">
        <v>412</v>
      </c>
      <c r="F63">
        <v>33</v>
      </c>
      <c r="G63" t="str">
        <f t="shared" si="0"/>
        <v>Quebec</v>
      </c>
      <c r="H63" t="str">
        <f t="shared" si="1"/>
        <v>new Models.State() {Name = "Quebec", Code =  "QC", Id =62, CountryId = 33, LocalName = "Quebec", Type = "Province" },</v>
      </c>
    </row>
    <row r="64" spans="1:8" x14ac:dyDescent="0.25">
      <c r="A64">
        <f t="shared" si="2"/>
        <v>63</v>
      </c>
      <c r="B64" t="s">
        <v>520</v>
      </c>
      <c r="C64" t="s">
        <v>317</v>
      </c>
      <c r="D64" t="s">
        <v>412</v>
      </c>
      <c r="F64">
        <v>33</v>
      </c>
      <c r="G64" t="str">
        <f t="shared" si="0"/>
        <v>Saskatchewan</v>
      </c>
      <c r="H64" t="str">
        <f t="shared" si="1"/>
        <v>new Models.State() {Name = "Saskatchewan", Code =  "SK", Id =63, CountryId = 33, LocalName = "Saskatchewan", Type = "Province" },</v>
      </c>
    </row>
    <row r="65" spans="1:8" x14ac:dyDescent="0.25">
      <c r="A65">
        <f t="shared" si="2"/>
        <v>64</v>
      </c>
      <c r="B65" t="s">
        <v>521</v>
      </c>
      <c r="C65" t="s">
        <v>225</v>
      </c>
      <c r="D65" t="s">
        <v>412</v>
      </c>
      <c r="F65">
        <v>33</v>
      </c>
      <c r="G65" t="str">
        <f t="shared" si="0"/>
        <v>Yukon</v>
      </c>
      <c r="H65" t="str">
        <f t="shared" si="1"/>
        <v>new Models.State() {Name = "Yukon", Code =  "YT", Id =64, CountryId = 33, LocalName = "Yukon", Type = "Province" },</v>
      </c>
    </row>
    <row r="66" spans="1:8" x14ac:dyDescent="0.25">
      <c r="A66">
        <f t="shared" si="2"/>
        <v>65</v>
      </c>
      <c r="B66" t="s">
        <v>523</v>
      </c>
      <c r="C66" t="s">
        <v>524</v>
      </c>
      <c r="D66" t="s">
        <v>412</v>
      </c>
      <c r="E66" t="s">
        <v>525</v>
      </c>
      <c r="F66">
        <v>38</v>
      </c>
      <c r="G66" t="str">
        <f t="shared" si="0"/>
        <v>安徽省 (Ānhuī Shěng)</v>
      </c>
      <c r="H66" t="str">
        <f t="shared" si="1"/>
        <v>new Models.State() {Name = "Anhui Sheng", Code =  "CN-AH", Id =65, CountryId = 38, LocalName = "安徽省 (Ānhuī Shěng)", Type = "Province" },</v>
      </c>
    </row>
    <row r="67" spans="1:8" x14ac:dyDescent="0.25">
      <c r="A67">
        <f t="shared" si="2"/>
        <v>66</v>
      </c>
      <c r="B67" t="s">
        <v>526</v>
      </c>
      <c r="C67" t="s">
        <v>527</v>
      </c>
      <c r="D67" t="s">
        <v>528</v>
      </c>
      <c r="E67" t="s">
        <v>529</v>
      </c>
      <c r="F67">
        <v>38</v>
      </c>
      <c r="G67" t="str">
        <f t="shared" ref="G67:G130" si="3">IF(E67="",B67,E67)</f>
        <v>北京市 (Běijīng Shì)</v>
      </c>
      <c r="H67" t="str">
        <f t="shared" ref="H67:H130" si="4">"new Models.State() {Name = """&amp;B67&amp;""", Code =  """&amp;C67&amp;""", Id ="&amp;A67&amp;", CountryId = "&amp;F67&amp;", LocalName = """&amp;G67&amp;""", Type = """&amp;D67&amp;""" },"</f>
        <v>new Models.State() {Name = "Beijing Shi", Code =  "CN-BJ", Id =66, CountryId = 38, LocalName = "北京市 (Běijīng Shì)", Type = "Municipality" },</v>
      </c>
    </row>
    <row r="68" spans="1:8" x14ac:dyDescent="0.25">
      <c r="A68">
        <f t="shared" ref="A68:A131" si="5">1+A67</f>
        <v>67</v>
      </c>
      <c r="B68" t="s">
        <v>530</v>
      </c>
      <c r="C68" t="s">
        <v>531</v>
      </c>
      <c r="D68" t="s">
        <v>528</v>
      </c>
      <c r="E68" t="s">
        <v>532</v>
      </c>
      <c r="F68">
        <v>38</v>
      </c>
      <c r="G68" t="str">
        <f t="shared" si="3"/>
        <v>重庆市 (Chóngqìng Shì)</v>
      </c>
      <c r="H68" t="str">
        <f t="shared" si="4"/>
        <v>new Models.State() {Name = "Chongqing Shi", Code =  "CN-CQ", Id =67, CountryId = 38, LocalName = "重庆市 (Chóngqìng Shì)", Type = "Municipality" },</v>
      </c>
    </row>
    <row r="69" spans="1:8" x14ac:dyDescent="0.25">
      <c r="A69">
        <f t="shared" si="5"/>
        <v>68</v>
      </c>
      <c r="B69" t="s">
        <v>533</v>
      </c>
      <c r="C69" t="s">
        <v>534</v>
      </c>
      <c r="D69" t="s">
        <v>412</v>
      </c>
      <c r="E69" t="s">
        <v>535</v>
      </c>
      <c r="F69">
        <v>38</v>
      </c>
      <c r="G69" t="str">
        <f t="shared" si="3"/>
        <v>福建省 (Fújiàn Shěng)</v>
      </c>
      <c r="H69" t="str">
        <f t="shared" si="4"/>
        <v>new Models.State() {Name = "Fujian Sheng", Code =  "CN-FJ", Id =68, CountryId = 38, LocalName = "福建省 (Fújiàn Shěng)", Type = "Province" },</v>
      </c>
    </row>
    <row r="70" spans="1:8" x14ac:dyDescent="0.25">
      <c r="A70">
        <f t="shared" si="5"/>
        <v>69</v>
      </c>
      <c r="B70" t="s">
        <v>536</v>
      </c>
      <c r="C70" t="s">
        <v>537</v>
      </c>
      <c r="D70" t="s">
        <v>412</v>
      </c>
      <c r="E70" t="s">
        <v>538</v>
      </c>
      <c r="F70">
        <v>38</v>
      </c>
      <c r="G70" t="str">
        <f t="shared" si="3"/>
        <v>广东省 (Guǎngdōng Shěng)</v>
      </c>
      <c r="H70" t="str">
        <f t="shared" si="4"/>
        <v>new Models.State() {Name = "Guangdong Sheng", Code =  "CN-GD", Id =69, CountryId = 38, LocalName = "广东省 (Guǎngdōng Shěng)", Type = "Province" },</v>
      </c>
    </row>
    <row r="71" spans="1:8" x14ac:dyDescent="0.25">
      <c r="A71">
        <f t="shared" si="5"/>
        <v>70</v>
      </c>
      <c r="B71" t="s">
        <v>539</v>
      </c>
      <c r="C71" t="s">
        <v>540</v>
      </c>
      <c r="D71" t="s">
        <v>412</v>
      </c>
      <c r="E71" t="s">
        <v>541</v>
      </c>
      <c r="F71">
        <v>38</v>
      </c>
      <c r="G71" t="str">
        <f t="shared" si="3"/>
        <v>甘肃省 (Gānsù Shěng)</v>
      </c>
      <c r="H71" t="str">
        <f t="shared" si="4"/>
        <v>new Models.State() {Name = "Gansu Sheng", Code =  "CN-GS", Id =70, CountryId = 38, LocalName = "甘肃省 (Gānsù Shěng)", Type = "Province" },</v>
      </c>
    </row>
    <row r="72" spans="1:8" x14ac:dyDescent="0.25">
      <c r="A72">
        <f t="shared" si="5"/>
        <v>71</v>
      </c>
      <c r="B72" t="s">
        <v>542</v>
      </c>
      <c r="C72" t="s">
        <v>543</v>
      </c>
      <c r="D72" t="s">
        <v>544</v>
      </c>
      <c r="E72" t="s">
        <v>545</v>
      </c>
      <c r="F72">
        <v>38</v>
      </c>
      <c r="G72" t="str">
        <f t="shared" si="3"/>
        <v>广西壮族自治区 (Guǎngxī Zhuàngzú Zìzhìqū)</v>
      </c>
      <c r="H72" t="str">
        <f t="shared" si="4"/>
        <v>new Models.State() {Name = "Guangxi Zhuangzu Zizhiqu", Code =  "CN-GX", Id =71, CountryId = 38, LocalName = "广西壮族自治区 (Guǎngxī Zhuàngzú Zìzhìqū)", Type = "Autonomous region" },</v>
      </c>
    </row>
    <row r="73" spans="1:8" x14ac:dyDescent="0.25">
      <c r="A73">
        <f t="shared" si="5"/>
        <v>72</v>
      </c>
      <c r="B73" t="s">
        <v>546</v>
      </c>
      <c r="C73" t="s">
        <v>547</v>
      </c>
      <c r="D73" t="s">
        <v>412</v>
      </c>
      <c r="E73" t="s">
        <v>548</v>
      </c>
      <c r="F73">
        <v>38</v>
      </c>
      <c r="G73" t="str">
        <f t="shared" si="3"/>
        <v>贵州省 (Guìzhōu Shěng)</v>
      </c>
      <c r="H73" t="str">
        <f t="shared" si="4"/>
        <v>new Models.State() {Name = "Guizhou Sheng", Code =  "CN-GZ", Id =72, CountryId = 38, LocalName = "贵州省 (Guìzhōu Shěng)", Type = "Province" },</v>
      </c>
    </row>
    <row r="74" spans="1:8" x14ac:dyDescent="0.25">
      <c r="A74">
        <f t="shared" si="5"/>
        <v>73</v>
      </c>
      <c r="B74" t="s">
        <v>549</v>
      </c>
      <c r="C74" t="s">
        <v>550</v>
      </c>
      <c r="D74" t="s">
        <v>412</v>
      </c>
      <c r="E74" t="s">
        <v>551</v>
      </c>
      <c r="F74">
        <v>38</v>
      </c>
      <c r="G74" t="str">
        <f t="shared" si="3"/>
        <v>河南省 (Hénán Shěng)</v>
      </c>
      <c r="H74" t="str">
        <f t="shared" si="4"/>
        <v>new Models.State() {Name = "Henan Sheng", Code =  "CN-HA", Id =73, CountryId = 38, LocalName = "河南省 (Hénán Shěng)", Type = "Province" },</v>
      </c>
    </row>
    <row r="75" spans="1:8" x14ac:dyDescent="0.25">
      <c r="A75">
        <f t="shared" si="5"/>
        <v>74</v>
      </c>
      <c r="B75" t="s">
        <v>552</v>
      </c>
      <c r="C75" t="s">
        <v>553</v>
      </c>
      <c r="D75" t="s">
        <v>412</v>
      </c>
      <c r="E75" t="s">
        <v>554</v>
      </c>
      <c r="F75">
        <v>38</v>
      </c>
      <c r="G75" t="str">
        <f t="shared" si="3"/>
        <v>湖北省 (Húběi Shěng)</v>
      </c>
      <c r="H75" t="str">
        <f t="shared" si="4"/>
        <v>new Models.State() {Name = "Hubei Sheng", Code =  "CN-HB", Id =74, CountryId = 38, LocalName = "湖北省 (Húběi Shěng)", Type = "Province" },</v>
      </c>
    </row>
    <row r="76" spans="1:8" x14ac:dyDescent="0.25">
      <c r="A76">
        <f t="shared" si="5"/>
        <v>75</v>
      </c>
      <c r="B76" t="s">
        <v>555</v>
      </c>
      <c r="C76" t="s">
        <v>556</v>
      </c>
      <c r="D76" t="s">
        <v>412</v>
      </c>
      <c r="E76" t="s">
        <v>557</v>
      </c>
      <c r="F76">
        <v>38</v>
      </c>
      <c r="G76" t="str">
        <f t="shared" si="3"/>
        <v>河北省 (Héběi Shěng)</v>
      </c>
      <c r="H76" t="str">
        <f t="shared" si="4"/>
        <v>new Models.State() {Name = "Hebei Sheng", Code =  "CN-HE", Id =75, CountryId = 38, LocalName = "河北省 (Héběi Shěng)", Type = "Province" },</v>
      </c>
    </row>
    <row r="77" spans="1:8" x14ac:dyDescent="0.25">
      <c r="A77">
        <f t="shared" si="5"/>
        <v>76</v>
      </c>
      <c r="B77" t="s">
        <v>558</v>
      </c>
      <c r="C77" t="s">
        <v>559</v>
      </c>
      <c r="D77" t="s">
        <v>412</v>
      </c>
      <c r="E77" t="s">
        <v>560</v>
      </c>
      <c r="F77">
        <v>38</v>
      </c>
      <c r="G77" t="str">
        <f t="shared" si="3"/>
        <v>海南省 (Hǎinán Shěng)</v>
      </c>
      <c r="H77" t="str">
        <f t="shared" si="4"/>
        <v>new Models.State() {Name = "Hainan Sheng", Code =  "CN-HI", Id =76, CountryId = 38, LocalName = "海南省 (Hǎinán Shěng)", Type = "Province" },</v>
      </c>
    </row>
    <row r="78" spans="1:8" x14ac:dyDescent="0.25">
      <c r="A78">
        <f t="shared" si="5"/>
        <v>77</v>
      </c>
      <c r="B78" t="s">
        <v>561</v>
      </c>
      <c r="C78" t="s">
        <v>562</v>
      </c>
      <c r="D78" t="s">
        <v>563</v>
      </c>
      <c r="E78" t="s">
        <v>564</v>
      </c>
      <c r="F78">
        <v>38</v>
      </c>
      <c r="G78" t="str">
        <f t="shared" si="3"/>
        <v>香港特别行政区 (Xiānggǎng Tèbiéxíngzhèngqū)</v>
      </c>
      <c r="H78" t="str">
        <f t="shared" si="4"/>
        <v>new Models.State() {Name = "Hong Kong SAR (en)", Code =  "CN-HK", Id =77, CountryId = 38, LocalName = "香港特别行政区 (Xiānggǎng Tèbiéxíngzhèngqū)", Type = "Special administrative region" },</v>
      </c>
    </row>
    <row r="79" spans="1:8" x14ac:dyDescent="0.25">
      <c r="A79">
        <f t="shared" si="5"/>
        <v>78</v>
      </c>
      <c r="B79" t="s">
        <v>565</v>
      </c>
      <c r="D79" t="s">
        <v>412</v>
      </c>
      <c r="F79">
        <v>38</v>
      </c>
      <c r="G79" t="str">
        <f t="shared" si="3"/>
        <v>Xianggang Tebiexingzhengqu (zh)</v>
      </c>
      <c r="H79" t="str">
        <f t="shared" si="4"/>
        <v>new Models.State() {Name = "Xianggang Tebiexingzhengqu (zh)", Code =  "", Id =78, CountryId = 38, LocalName = "Xianggang Tebiexingzhengqu (zh)", Type = "Province" },</v>
      </c>
    </row>
    <row r="80" spans="1:8" x14ac:dyDescent="0.25">
      <c r="A80">
        <f t="shared" si="5"/>
        <v>79</v>
      </c>
      <c r="B80" t="s">
        <v>566</v>
      </c>
      <c r="C80" t="s">
        <v>567</v>
      </c>
      <c r="D80" t="s">
        <v>412</v>
      </c>
      <c r="E80" t="s">
        <v>568</v>
      </c>
      <c r="F80">
        <v>38</v>
      </c>
      <c r="G80" t="str">
        <f t="shared" si="3"/>
        <v>黑龙江省 (Hēilóngjiāng Shěng)</v>
      </c>
      <c r="H80" t="str">
        <f t="shared" si="4"/>
        <v>new Models.State() {Name = "Heilongjiang Sheng", Code =  "CN-HL", Id =79, CountryId = 38, LocalName = "黑龙江省 (Hēilóngjiāng Shěng)", Type = "Province" },</v>
      </c>
    </row>
    <row r="81" spans="1:8" x14ac:dyDescent="0.25">
      <c r="A81">
        <f t="shared" si="5"/>
        <v>80</v>
      </c>
      <c r="B81" t="s">
        <v>569</v>
      </c>
      <c r="C81" t="s">
        <v>570</v>
      </c>
      <c r="D81" t="s">
        <v>412</v>
      </c>
      <c r="E81" t="s">
        <v>571</v>
      </c>
      <c r="F81">
        <v>38</v>
      </c>
      <c r="G81" t="str">
        <f t="shared" si="3"/>
        <v>湖南省 (Húnán Shěng)</v>
      </c>
      <c r="H81" t="str">
        <f t="shared" si="4"/>
        <v>new Models.State() {Name = "Hunan Sheng", Code =  "CN-HN", Id =80, CountryId = 38, LocalName = "湖南省 (Húnán Shěng)", Type = "Province" },</v>
      </c>
    </row>
    <row r="82" spans="1:8" x14ac:dyDescent="0.25">
      <c r="A82">
        <f t="shared" si="5"/>
        <v>81</v>
      </c>
      <c r="B82" t="s">
        <v>572</v>
      </c>
      <c r="C82" t="s">
        <v>573</v>
      </c>
      <c r="D82" t="s">
        <v>412</v>
      </c>
      <c r="E82" t="s">
        <v>574</v>
      </c>
      <c r="F82">
        <v>38</v>
      </c>
      <c r="G82" t="str">
        <f t="shared" si="3"/>
        <v>吉林省 (Jílín Shěng)</v>
      </c>
      <c r="H82" t="str">
        <f t="shared" si="4"/>
        <v>new Models.State() {Name = "Jilin Sheng", Code =  "CN-JL", Id =81, CountryId = 38, LocalName = "吉林省 (Jílín Shěng)", Type = "Province" },</v>
      </c>
    </row>
    <row r="83" spans="1:8" x14ac:dyDescent="0.25">
      <c r="A83">
        <f t="shared" si="5"/>
        <v>82</v>
      </c>
      <c r="B83" t="s">
        <v>575</v>
      </c>
      <c r="C83" t="s">
        <v>576</v>
      </c>
      <c r="D83" t="s">
        <v>412</v>
      </c>
      <c r="E83" t="s">
        <v>577</v>
      </c>
      <c r="F83">
        <v>38</v>
      </c>
      <c r="G83" t="str">
        <f t="shared" si="3"/>
        <v>江苏省 (Jiāngsū Shěng)</v>
      </c>
      <c r="H83" t="str">
        <f t="shared" si="4"/>
        <v>new Models.State() {Name = "Jiangsu Sheng", Code =  "CN-JS", Id =82, CountryId = 38, LocalName = "江苏省 (Jiāngsū Shěng)", Type = "Province" },</v>
      </c>
    </row>
    <row r="84" spans="1:8" x14ac:dyDescent="0.25">
      <c r="A84">
        <f t="shared" si="5"/>
        <v>83</v>
      </c>
      <c r="B84" t="s">
        <v>578</v>
      </c>
      <c r="C84" t="s">
        <v>579</v>
      </c>
      <c r="D84" t="s">
        <v>412</v>
      </c>
      <c r="E84" t="s">
        <v>580</v>
      </c>
      <c r="F84">
        <v>38</v>
      </c>
      <c r="G84" t="str">
        <f t="shared" si="3"/>
        <v>江西省 (Jiāngxī Shěng)</v>
      </c>
      <c r="H84" t="str">
        <f t="shared" si="4"/>
        <v>new Models.State() {Name = "Jiangxi Sheng", Code =  "CN-JX", Id =83, CountryId = 38, LocalName = "江西省 (Jiāngxī Shěng)", Type = "Province" },</v>
      </c>
    </row>
    <row r="85" spans="1:8" x14ac:dyDescent="0.25">
      <c r="A85">
        <f t="shared" si="5"/>
        <v>84</v>
      </c>
      <c r="B85" t="s">
        <v>581</v>
      </c>
      <c r="C85" t="s">
        <v>582</v>
      </c>
      <c r="D85" t="s">
        <v>412</v>
      </c>
      <c r="E85" t="s">
        <v>583</v>
      </c>
      <c r="F85">
        <v>38</v>
      </c>
      <c r="G85" t="str">
        <f t="shared" si="3"/>
        <v>辽宁省 (Liáoníng Shěng)</v>
      </c>
      <c r="H85" t="str">
        <f t="shared" si="4"/>
        <v>new Models.State() {Name = "Liaoning Sheng", Code =  "CN-LN", Id =84, CountryId = 38, LocalName = "辽宁省 (Liáoníng Shěng)", Type = "Province" },</v>
      </c>
    </row>
    <row r="86" spans="1:8" x14ac:dyDescent="0.25">
      <c r="A86">
        <f t="shared" si="5"/>
        <v>85</v>
      </c>
      <c r="B86" t="s">
        <v>584</v>
      </c>
      <c r="C86" t="s">
        <v>585</v>
      </c>
      <c r="D86" t="s">
        <v>563</v>
      </c>
      <c r="E86" t="s">
        <v>586</v>
      </c>
      <c r="F86">
        <v>38</v>
      </c>
      <c r="G86" t="str">
        <f t="shared" si="3"/>
        <v>澳门特别行政区 (Àomén Tèbiéxíngzhèngqū)</v>
      </c>
      <c r="H86" t="str">
        <f t="shared" si="4"/>
        <v>new Models.State() {Name = "Macao SAR (en)", Code =  "CN-MO", Id =85, CountryId = 38, LocalName = "澳门特别行政区 (Àomén Tèbiéxíngzhèngqū)", Type = "Special administrative region" },</v>
      </c>
    </row>
    <row r="87" spans="1:8" x14ac:dyDescent="0.25">
      <c r="A87">
        <f t="shared" si="5"/>
        <v>86</v>
      </c>
      <c r="B87" t="s">
        <v>587</v>
      </c>
      <c r="D87" t="s">
        <v>412</v>
      </c>
      <c r="F87">
        <v>38</v>
      </c>
      <c r="G87" t="str">
        <f t="shared" si="3"/>
        <v>Macau SAR (pt)</v>
      </c>
      <c r="H87" t="str">
        <f t="shared" si="4"/>
        <v>new Models.State() {Name = "Macau SAR (pt)", Code =  "", Id =86, CountryId = 38, LocalName = "Macau SAR (pt)", Type = "Province" },</v>
      </c>
    </row>
    <row r="88" spans="1:8" x14ac:dyDescent="0.25">
      <c r="A88">
        <f t="shared" si="5"/>
        <v>87</v>
      </c>
      <c r="B88" t="s">
        <v>588</v>
      </c>
      <c r="D88" t="s">
        <v>412</v>
      </c>
      <c r="F88">
        <v>38</v>
      </c>
      <c r="G88" t="str">
        <f t="shared" si="3"/>
        <v>Aomen Tebiexingzhengqu (zh)</v>
      </c>
      <c r="H88" t="str">
        <f t="shared" si="4"/>
        <v>new Models.State() {Name = "Aomen Tebiexingzhengqu (zh)", Code =  "", Id =87, CountryId = 38, LocalName = "Aomen Tebiexingzhengqu (zh)", Type = "Province" },</v>
      </c>
    </row>
    <row r="89" spans="1:8" x14ac:dyDescent="0.25">
      <c r="A89">
        <f t="shared" si="5"/>
        <v>88</v>
      </c>
      <c r="B89" t="s">
        <v>589</v>
      </c>
      <c r="C89" t="s">
        <v>590</v>
      </c>
      <c r="D89" t="s">
        <v>544</v>
      </c>
      <c r="E89" t="s">
        <v>591</v>
      </c>
      <c r="F89">
        <v>38</v>
      </c>
      <c r="G89" t="str">
        <f t="shared" si="3"/>
        <v>内蒙古自治区 (Nèi Ménggǔ Zìzhìqū)</v>
      </c>
      <c r="H89" t="str">
        <f t="shared" si="4"/>
        <v>new Models.State() {Name = "Nei Mongol Zizhiqu (mn)", Code =  "CN-NM", Id =88, CountryId = 38, LocalName = "内蒙古自治区 (Nèi Ménggǔ Zìzhìqū)", Type = "Autonomous region" },</v>
      </c>
    </row>
    <row r="90" spans="1:8" x14ac:dyDescent="0.25">
      <c r="A90">
        <f t="shared" si="5"/>
        <v>89</v>
      </c>
      <c r="B90" t="s">
        <v>592</v>
      </c>
      <c r="C90" t="s">
        <v>593</v>
      </c>
      <c r="D90" t="s">
        <v>544</v>
      </c>
      <c r="E90" t="s">
        <v>594</v>
      </c>
      <c r="F90">
        <v>38</v>
      </c>
      <c r="G90" t="str">
        <f t="shared" si="3"/>
        <v>宁夏回族自治区 (Níngxià Huízú Zìzhìqū)</v>
      </c>
      <c r="H90" t="str">
        <f t="shared" si="4"/>
        <v>new Models.State() {Name = "Ningxia Huizu Zizhiqu", Code =  "CN-NX", Id =89, CountryId = 38, LocalName = "宁夏回族自治区 (Níngxià Huízú Zìzhìqū)", Type = "Autonomous region" },</v>
      </c>
    </row>
    <row r="91" spans="1:8" x14ac:dyDescent="0.25">
      <c r="A91">
        <f t="shared" si="5"/>
        <v>90</v>
      </c>
      <c r="B91" t="s">
        <v>595</v>
      </c>
      <c r="C91" t="s">
        <v>596</v>
      </c>
      <c r="D91" t="s">
        <v>412</v>
      </c>
      <c r="E91" t="s">
        <v>597</v>
      </c>
      <c r="F91">
        <v>38</v>
      </c>
      <c r="G91" t="str">
        <f t="shared" si="3"/>
        <v>青海省 (Qīnghǎi Shěng)</v>
      </c>
      <c r="H91" t="str">
        <f t="shared" si="4"/>
        <v>new Models.State() {Name = "Qinghai Sheng", Code =  "CN-QH", Id =90, CountryId = 38, LocalName = "青海省 (Qīnghǎi Shěng)", Type = "Province" },</v>
      </c>
    </row>
    <row r="92" spans="1:8" x14ac:dyDescent="0.25">
      <c r="A92">
        <f t="shared" si="5"/>
        <v>91</v>
      </c>
      <c r="B92" t="s">
        <v>598</v>
      </c>
      <c r="C92" t="s">
        <v>599</v>
      </c>
      <c r="D92" t="s">
        <v>412</v>
      </c>
      <c r="E92" t="s">
        <v>600</v>
      </c>
      <c r="F92">
        <v>38</v>
      </c>
      <c r="G92" t="str">
        <f t="shared" si="3"/>
        <v>四川省 (Sìchuān Shěng)</v>
      </c>
      <c r="H92" t="str">
        <f t="shared" si="4"/>
        <v>new Models.State() {Name = "Sichuan Sheng", Code =  "CN-SC", Id =91, CountryId = 38, LocalName = "四川省 (Sìchuān Shěng)", Type = "Province" },</v>
      </c>
    </row>
    <row r="93" spans="1:8" x14ac:dyDescent="0.25">
      <c r="A93">
        <f t="shared" si="5"/>
        <v>92</v>
      </c>
      <c r="B93" t="s">
        <v>601</v>
      </c>
      <c r="C93" t="s">
        <v>602</v>
      </c>
      <c r="D93" t="s">
        <v>412</v>
      </c>
      <c r="E93" t="s">
        <v>603</v>
      </c>
      <c r="F93">
        <v>38</v>
      </c>
      <c r="G93" t="str">
        <f t="shared" si="3"/>
        <v>山东省 (Shāndōng Shěng)</v>
      </c>
      <c r="H93" t="str">
        <f t="shared" si="4"/>
        <v>new Models.State() {Name = "Shandong Sheng", Code =  "CN-SD", Id =92, CountryId = 38, LocalName = "山东省 (Shāndōng Shěng)", Type = "Province" },</v>
      </c>
    </row>
    <row r="94" spans="1:8" x14ac:dyDescent="0.25">
      <c r="A94">
        <f t="shared" si="5"/>
        <v>93</v>
      </c>
      <c r="B94" t="s">
        <v>604</v>
      </c>
      <c r="C94" t="s">
        <v>605</v>
      </c>
      <c r="D94" t="s">
        <v>528</v>
      </c>
      <c r="E94" t="s">
        <v>606</v>
      </c>
      <c r="F94">
        <v>38</v>
      </c>
      <c r="G94" t="str">
        <f t="shared" si="3"/>
        <v>上海市 (Shànghǎi Shì)</v>
      </c>
      <c r="H94" t="str">
        <f t="shared" si="4"/>
        <v>new Models.State() {Name = "Shanghai Shi", Code =  "CN-SH", Id =93, CountryId = 38, LocalName = "上海市 (Shànghǎi Shì)", Type = "Municipality" },</v>
      </c>
    </row>
    <row r="95" spans="1:8" x14ac:dyDescent="0.25">
      <c r="A95">
        <f t="shared" si="5"/>
        <v>94</v>
      </c>
      <c r="B95" t="s">
        <v>607</v>
      </c>
      <c r="C95" t="s">
        <v>608</v>
      </c>
      <c r="D95" t="s">
        <v>412</v>
      </c>
      <c r="E95" t="s">
        <v>609</v>
      </c>
      <c r="F95">
        <v>38</v>
      </c>
      <c r="G95" t="str">
        <f t="shared" si="3"/>
        <v>陕西省 (Shǎnxī Shěng)</v>
      </c>
      <c r="H95" t="str">
        <f t="shared" si="4"/>
        <v>new Models.State() {Name = "Shaanxi Sheng", Code =  "CN-SN", Id =94, CountryId = 38, LocalName = "陕西省 (Shǎnxī Shěng)", Type = "Province" },</v>
      </c>
    </row>
    <row r="96" spans="1:8" x14ac:dyDescent="0.25">
      <c r="A96">
        <f t="shared" si="5"/>
        <v>95</v>
      </c>
      <c r="B96" t="s">
        <v>610</v>
      </c>
      <c r="C96" t="s">
        <v>611</v>
      </c>
      <c r="D96" t="s">
        <v>412</v>
      </c>
      <c r="E96" t="s">
        <v>612</v>
      </c>
      <c r="F96">
        <v>38</v>
      </c>
      <c r="G96" t="str">
        <f t="shared" si="3"/>
        <v>山西省 (Shānxī Shěng)</v>
      </c>
      <c r="H96" t="str">
        <f t="shared" si="4"/>
        <v>new Models.State() {Name = "Shanxi Sheng", Code =  "CN-SX", Id =95, CountryId = 38, LocalName = "山西省 (Shānxī Shěng)", Type = "Province" },</v>
      </c>
    </row>
    <row r="97" spans="1:8" x14ac:dyDescent="0.25">
      <c r="A97">
        <f t="shared" si="5"/>
        <v>96</v>
      </c>
      <c r="B97" t="s">
        <v>613</v>
      </c>
      <c r="C97" t="s">
        <v>614</v>
      </c>
      <c r="D97" t="s">
        <v>528</v>
      </c>
      <c r="E97" t="s">
        <v>615</v>
      </c>
      <c r="F97">
        <v>38</v>
      </c>
      <c r="G97" t="str">
        <f t="shared" si="3"/>
        <v>天津市 (Tiānjīn Shì)</v>
      </c>
      <c r="H97" t="str">
        <f t="shared" si="4"/>
        <v>new Models.State() {Name = "Tianjin Shi", Code =  "CN-TJ", Id =96, CountryId = 38, LocalName = "天津市 (Tiānjīn Shì)", Type = "Municipality" },</v>
      </c>
    </row>
    <row r="98" spans="1:8" x14ac:dyDescent="0.25">
      <c r="A98">
        <f t="shared" si="5"/>
        <v>97</v>
      </c>
      <c r="B98" t="s">
        <v>616</v>
      </c>
      <c r="C98" t="s">
        <v>617</v>
      </c>
      <c r="D98" t="s">
        <v>412</v>
      </c>
      <c r="E98" t="s">
        <v>618</v>
      </c>
      <c r="F98">
        <v>38</v>
      </c>
      <c r="G98" t="str">
        <f t="shared" si="3"/>
        <v>台湾省 (Táiwān Shěng)</v>
      </c>
      <c r="H98" t="str">
        <f t="shared" si="4"/>
        <v>new Models.State() {Name = "Taiwan Sheng", Code =  "CN-TW", Id =97, CountryId = 38, LocalName = "台湾省 (Táiwān Shěng)", Type = "Province" },</v>
      </c>
    </row>
    <row r="99" spans="1:8" x14ac:dyDescent="0.25">
      <c r="A99">
        <f t="shared" si="5"/>
        <v>98</v>
      </c>
      <c r="B99" t="s">
        <v>619</v>
      </c>
      <c r="C99" t="s">
        <v>620</v>
      </c>
      <c r="D99" t="s">
        <v>544</v>
      </c>
      <c r="E99" t="s">
        <v>621</v>
      </c>
      <c r="F99">
        <v>38</v>
      </c>
      <c r="G99" t="str">
        <f t="shared" si="3"/>
        <v>新疆维吾尔自治区 (Xīnjiāng Wéiwú'ěr Zìzhìqū)</v>
      </c>
      <c r="H99" t="str">
        <f t="shared" si="4"/>
        <v>new Models.State() {Name = "Xinjiang Uygur Zizhiqu", Code =  "CN-XJ", Id =98, CountryId = 38, LocalName = "新疆维吾尔自治区 (Xīnjiāng Wéiwú'ěr Zìzhìqū)", Type = "Autonomous region" },</v>
      </c>
    </row>
    <row r="100" spans="1:8" x14ac:dyDescent="0.25">
      <c r="A100">
        <f t="shared" si="5"/>
        <v>99</v>
      </c>
      <c r="B100" t="s">
        <v>622</v>
      </c>
      <c r="C100" t="s">
        <v>623</v>
      </c>
      <c r="D100" t="s">
        <v>544</v>
      </c>
      <c r="E100" t="s">
        <v>624</v>
      </c>
      <c r="F100">
        <v>38</v>
      </c>
      <c r="G100" t="str">
        <f t="shared" si="3"/>
        <v>西藏自治区 (Xīzàng Zìzhìqū)</v>
      </c>
      <c r="H100" t="str">
        <f t="shared" si="4"/>
        <v>new Models.State() {Name = "Xizang Zizhiqu", Code =  "CN-XZ", Id =99, CountryId = 38, LocalName = "西藏自治区 (Xīzàng Zìzhìqū)", Type = "Autonomous region" },</v>
      </c>
    </row>
    <row r="101" spans="1:8" x14ac:dyDescent="0.25">
      <c r="A101">
        <f t="shared" si="5"/>
        <v>100</v>
      </c>
      <c r="B101" t="s">
        <v>625</v>
      </c>
      <c r="C101" t="s">
        <v>626</v>
      </c>
      <c r="D101" t="s">
        <v>412</v>
      </c>
      <c r="E101" t="s">
        <v>627</v>
      </c>
      <c r="F101">
        <v>38</v>
      </c>
      <c r="G101" t="str">
        <f t="shared" si="3"/>
        <v>云南省 (Yúnnán Shěng)</v>
      </c>
      <c r="H101" t="str">
        <f t="shared" si="4"/>
        <v>new Models.State() {Name = "Yunnan Sheng", Code =  "CN-YN", Id =100, CountryId = 38, LocalName = "云南省 (Yúnnán Shěng)", Type = "Province" },</v>
      </c>
    </row>
    <row r="102" spans="1:8" x14ac:dyDescent="0.25">
      <c r="A102">
        <f t="shared" si="5"/>
        <v>101</v>
      </c>
      <c r="B102" t="s">
        <v>628</v>
      </c>
      <c r="C102" t="s">
        <v>629</v>
      </c>
      <c r="D102" t="s">
        <v>412</v>
      </c>
      <c r="E102" t="s">
        <v>630</v>
      </c>
      <c r="F102">
        <v>38</v>
      </c>
      <c r="G102" t="str">
        <f t="shared" si="3"/>
        <v>浙江省 (Zhèjiāng Shěng)</v>
      </c>
      <c r="H102" t="str">
        <f t="shared" si="4"/>
        <v>new Models.State() {Name = "Zhejiang Sheng", Code =  "CN-ZJ", Id =101, CountryId = 38, LocalName = "浙江省 (Zhèjiāng Shěng)", Type = "Province" },</v>
      </c>
    </row>
    <row r="103" spans="1:8" x14ac:dyDescent="0.25">
      <c r="A103">
        <f t="shared" si="5"/>
        <v>102</v>
      </c>
      <c r="B103" t="s">
        <v>632</v>
      </c>
      <c r="C103" t="s">
        <v>632</v>
      </c>
      <c r="D103" t="s">
        <v>462</v>
      </c>
      <c r="F103">
        <v>83</v>
      </c>
      <c r="G103" t="str">
        <f t="shared" si="3"/>
        <v>Andaman and Nicobar Islands</v>
      </c>
      <c r="H103" t="str">
        <f t="shared" si="4"/>
        <v>new Models.State() {Name = "Andaman and Nicobar Islands", Code =  "Andaman and Nicobar Islands", Id =102, CountryId = 83, LocalName = "Andaman and Nicobar Islands", Type = "State" },</v>
      </c>
    </row>
    <row r="104" spans="1:8" x14ac:dyDescent="0.25">
      <c r="A104">
        <f t="shared" si="5"/>
        <v>103</v>
      </c>
      <c r="B104" t="s">
        <v>633</v>
      </c>
      <c r="C104" t="s">
        <v>633</v>
      </c>
      <c r="D104" t="s">
        <v>462</v>
      </c>
      <c r="F104">
        <v>83</v>
      </c>
      <c r="G104" t="str">
        <f t="shared" si="3"/>
        <v>Andhra Pradesh</v>
      </c>
      <c r="H104" t="str">
        <f t="shared" si="4"/>
        <v>new Models.State() {Name = "Andhra Pradesh", Code =  "Andhra Pradesh", Id =103, CountryId = 83, LocalName = "Andhra Pradesh", Type = "State" },</v>
      </c>
    </row>
    <row r="105" spans="1:8" x14ac:dyDescent="0.25">
      <c r="A105">
        <f t="shared" si="5"/>
        <v>104</v>
      </c>
      <c r="B105" t="s">
        <v>634</v>
      </c>
      <c r="C105" t="s">
        <v>635</v>
      </c>
      <c r="D105" t="s">
        <v>462</v>
      </c>
      <c r="F105">
        <v>83</v>
      </c>
      <c r="G105" t="str">
        <f t="shared" si="3"/>
        <v>Army Post Office</v>
      </c>
      <c r="H105" t="str">
        <f t="shared" si="4"/>
        <v>new Models.State() {Name = "Army Post Office", Code =  "APO", Id =104, CountryId = 83, LocalName = "Army Post Office", Type = "State" },</v>
      </c>
    </row>
    <row r="106" spans="1:8" x14ac:dyDescent="0.25">
      <c r="A106">
        <f t="shared" si="5"/>
        <v>105</v>
      </c>
      <c r="B106" t="s">
        <v>636</v>
      </c>
      <c r="C106" t="s">
        <v>636</v>
      </c>
      <c r="D106" t="s">
        <v>462</v>
      </c>
      <c r="F106">
        <v>83</v>
      </c>
      <c r="G106" t="str">
        <f t="shared" si="3"/>
        <v>Arunachal Pradesh</v>
      </c>
      <c r="H106" t="str">
        <f t="shared" si="4"/>
        <v>new Models.State() {Name = "Arunachal Pradesh", Code =  "Arunachal Pradesh", Id =105, CountryId = 83, LocalName = "Arunachal Pradesh", Type = "State" },</v>
      </c>
    </row>
    <row r="107" spans="1:8" x14ac:dyDescent="0.25">
      <c r="A107">
        <f t="shared" si="5"/>
        <v>106</v>
      </c>
      <c r="B107" t="s">
        <v>637</v>
      </c>
      <c r="C107" t="s">
        <v>637</v>
      </c>
      <c r="D107" t="s">
        <v>462</v>
      </c>
      <c r="F107">
        <v>83</v>
      </c>
      <c r="G107" t="str">
        <f t="shared" si="3"/>
        <v>Assam</v>
      </c>
      <c r="H107" t="str">
        <f t="shared" si="4"/>
        <v>new Models.State() {Name = "Assam", Code =  "Assam", Id =106, CountryId = 83, LocalName = "Assam", Type = "State" },</v>
      </c>
    </row>
    <row r="108" spans="1:8" x14ac:dyDescent="0.25">
      <c r="A108">
        <f t="shared" si="5"/>
        <v>107</v>
      </c>
      <c r="B108" t="s">
        <v>638</v>
      </c>
      <c r="C108" t="s">
        <v>638</v>
      </c>
      <c r="D108" t="s">
        <v>462</v>
      </c>
      <c r="F108">
        <v>83</v>
      </c>
      <c r="G108" t="str">
        <f t="shared" si="3"/>
        <v>Bihar</v>
      </c>
      <c r="H108" t="str">
        <f t="shared" si="4"/>
        <v>new Models.State() {Name = "Bihar", Code =  "Bihar", Id =107, CountryId = 83, LocalName = "Bihar", Type = "State" },</v>
      </c>
    </row>
    <row r="109" spans="1:8" x14ac:dyDescent="0.25">
      <c r="A109">
        <f t="shared" si="5"/>
        <v>108</v>
      </c>
      <c r="B109" t="s">
        <v>639</v>
      </c>
      <c r="C109" t="s">
        <v>639</v>
      </c>
      <c r="D109" t="s">
        <v>462</v>
      </c>
      <c r="F109">
        <v>83</v>
      </c>
      <c r="G109" t="str">
        <f t="shared" si="3"/>
        <v>Chandigarh</v>
      </c>
      <c r="H109" t="str">
        <f t="shared" si="4"/>
        <v>new Models.State() {Name = "Chandigarh", Code =  "Chandigarh", Id =108, CountryId = 83, LocalName = "Chandigarh", Type = "State" },</v>
      </c>
    </row>
    <row r="110" spans="1:8" x14ac:dyDescent="0.25">
      <c r="A110">
        <f t="shared" si="5"/>
        <v>109</v>
      </c>
      <c r="B110" t="s">
        <v>640</v>
      </c>
      <c r="C110" t="s">
        <v>640</v>
      </c>
      <c r="D110" t="s">
        <v>462</v>
      </c>
      <c r="F110">
        <v>83</v>
      </c>
      <c r="G110" t="str">
        <f t="shared" si="3"/>
        <v>Chhattisgarh</v>
      </c>
      <c r="H110" t="str">
        <f t="shared" si="4"/>
        <v>new Models.State() {Name = "Chhattisgarh", Code =  "Chhattisgarh", Id =109, CountryId = 83, LocalName = "Chhattisgarh", Type = "State" },</v>
      </c>
    </row>
    <row r="111" spans="1:8" x14ac:dyDescent="0.25">
      <c r="A111">
        <f t="shared" si="5"/>
        <v>110</v>
      </c>
      <c r="B111" t="s">
        <v>641</v>
      </c>
      <c r="C111" t="s">
        <v>641</v>
      </c>
      <c r="D111" t="s">
        <v>462</v>
      </c>
      <c r="F111">
        <v>83</v>
      </c>
      <c r="G111" t="str">
        <f t="shared" si="3"/>
        <v>Dadra and Nagar Haveli</v>
      </c>
      <c r="H111" t="str">
        <f t="shared" si="4"/>
        <v>new Models.State() {Name = "Dadra and Nagar Haveli", Code =  "Dadra and Nagar Haveli", Id =110, CountryId = 83, LocalName = "Dadra and Nagar Haveli", Type = "State" },</v>
      </c>
    </row>
    <row r="112" spans="1:8" x14ac:dyDescent="0.25">
      <c r="A112">
        <f t="shared" si="5"/>
        <v>111</v>
      </c>
      <c r="B112" t="s">
        <v>642</v>
      </c>
      <c r="C112" t="s">
        <v>642</v>
      </c>
      <c r="D112" t="s">
        <v>462</v>
      </c>
      <c r="F112">
        <v>83</v>
      </c>
      <c r="G112" t="str">
        <f t="shared" si="3"/>
        <v>Daman and Diu</v>
      </c>
      <c r="H112" t="str">
        <f t="shared" si="4"/>
        <v>new Models.State() {Name = "Daman and Diu", Code =  "Daman and Diu", Id =111, CountryId = 83, LocalName = "Daman and Diu", Type = "State" },</v>
      </c>
    </row>
    <row r="113" spans="1:8" x14ac:dyDescent="0.25">
      <c r="A113">
        <f t="shared" si="5"/>
        <v>112</v>
      </c>
      <c r="B113" t="s">
        <v>643</v>
      </c>
      <c r="C113" t="s">
        <v>644</v>
      </c>
      <c r="D113" t="s">
        <v>462</v>
      </c>
      <c r="F113">
        <v>83</v>
      </c>
      <c r="G113" t="str">
        <f t="shared" si="3"/>
        <v>Delhi</v>
      </c>
      <c r="H113" t="str">
        <f t="shared" si="4"/>
        <v>new Models.State() {Name = "Delhi", Code =  "Delhi (NCT)", Id =112, CountryId = 83, LocalName = "Delhi", Type = "State" },</v>
      </c>
    </row>
    <row r="114" spans="1:8" x14ac:dyDescent="0.25">
      <c r="A114">
        <f t="shared" si="5"/>
        <v>113</v>
      </c>
      <c r="B114" t="s">
        <v>645</v>
      </c>
      <c r="C114" t="s">
        <v>645</v>
      </c>
      <c r="D114" t="s">
        <v>462</v>
      </c>
      <c r="F114">
        <v>83</v>
      </c>
      <c r="G114" t="str">
        <f t="shared" si="3"/>
        <v>Goa</v>
      </c>
      <c r="H114" t="str">
        <f t="shared" si="4"/>
        <v>new Models.State() {Name = "Goa", Code =  "Goa", Id =113, CountryId = 83, LocalName = "Goa", Type = "State" },</v>
      </c>
    </row>
    <row r="115" spans="1:8" x14ac:dyDescent="0.25">
      <c r="A115">
        <f t="shared" si="5"/>
        <v>114</v>
      </c>
      <c r="B115" t="s">
        <v>646</v>
      </c>
      <c r="C115" t="s">
        <v>646</v>
      </c>
      <c r="D115" t="s">
        <v>462</v>
      </c>
      <c r="F115">
        <v>83</v>
      </c>
      <c r="G115" t="str">
        <f t="shared" si="3"/>
        <v>Gujarat</v>
      </c>
      <c r="H115" t="str">
        <f t="shared" si="4"/>
        <v>new Models.State() {Name = "Gujarat", Code =  "Gujarat", Id =114, CountryId = 83, LocalName = "Gujarat", Type = "State" },</v>
      </c>
    </row>
    <row r="116" spans="1:8" x14ac:dyDescent="0.25">
      <c r="A116">
        <f t="shared" si="5"/>
        <v>115</v>
      </c>
      <c r="B116" t="s">
        <v>647</v>
      </c>
      <c r="C116" t="s">
        <v>647</v>
      </c>
      <c r="D116" t="s">
        <v>462</v>
      </c>
      <c r="F116">
        <v>83</v>
      </c>
      <c r="G116" t="str">
        <f t="shared" si="3"/>
        <v>Haryana</v>
      </c>
      <c r="H116" t="str">
        <f t="shared" si="4"/>
        <v>new Models.State() {Name = "Haryana", Code =  "Haryana", Id =115, CountryId = 83, LocalName = "Haryana", Type = "State" },</v>
      </c>
    </row>
    <row r="117" spans="1:8" x14ac:dyDescent="0.25">
      <c r="A117">
        <f t="shared" si="5"/>
        <v>116</v>
      </c>
      <c r="B117" t="s">
        <v>648</v>
      </c>
      <c r="C117" t="s">
        <v>648</v>
      </c>
      <c r="D117" t="s">
        <v>462</v>
      </c>
      <c r="F117">
        <v>83</v>
      </c>
      <c r="G117" t="str">
        <f t="shared" si="3"/>
        <v>Himachal Pradesh</v>
      </c>
      <c r="H117" t="str">
        <f t="shared" si="4"/>
        <v>new Models.State() {Name = "Himachal Pradesh", Code =  "Himachal Pradesh", Id =116, CountryId = 83, LocalName = "Himachal Pradesh", Type = "State" },</v>
      </c>
    </row>
    <row r="118" spans="1:8" x14ac:dyDescent="0.25">
      <c r="A118">
        <f t="shared" si="5"/>
        <v>117</v>
      </c>
      <c r="B118" t="s">
        <v>649</v>
      </c>
      <c r="C118" t="s">
        <v>649</v>
      </c>
      <c r="D118" t="s">
        <v>462</v>
      </c>
      <c r="F118">
        <v>83</v>
      </c>
      <c r="G118" t="str">
        <f t="shared" si="3"/>
        <v>Jammu and Kashmir</v>
      </c>
      <c r="H118" t="str">
        <f t="shared" si="4"/>
        <v>new Models.State() {Name = "Jammu and Kashmir", Code =  "Jammu and Kashmir", Id =117, CountryId = 83, LocalName = "Jammu and Kashmir", Type = "State" },</v>
      </c>
    </row>
    <row r="119" spans="1:8" x14ac:dyDescent="0.25">
      <c r="A119">
        <f t="shared" si="5"/>
        <v>118</v>
      </c>
      <c r="B119" t="s">
        <v>650</v>
      </c>
      <c r="C119" t="s">
        <v>650</v>
      </c>
      <c r="D119" t="s">
        <v>462</v>
      </c>
      <c r="F119">
        <v>83</v>
      </c>
      <c r="G119" t="str">
        <f t="shared" si="3"/>
        <v>Jharkhand</v>
      </c>
      <c r="H119" t="str">
        <f t="shared" si="4"/>
        <v>new Models.State() {Name = "Jharkhand", Code =  "Jharkhand", Id =118, CountryId = 83, LocalName = "Jharkhand", Type = "State" },</v>
      </c>
    </row>
    <row r="120" spans="1:8" x14ac:dyDescent="0.25">
      <c r="A120">
        <f t="shared" si="5"/>
        <v>119</v>
      </c>
      <c r="B120" t="s">
        <v>651</v>
      </c>
      <c r="C120" t="s">
        <v>651</v>
      </c>
      <c r="D120" t="s">
        <v>462</v>
      </c>
      <c r="F120">
        <v>83</v>
      </c>
      <c r="G120" t="str">
        <f t="shared" si="3"/>
        <v>Karnataka</v>
      </c>
      <c r="H120" t="str">
        <f t="shared" si="4"/>
        <v>new Models.State() {Name = "Karnataka", Code =  "Karnataka", Id =119, CountryId = 83, LocalName = "Karnataka", Type = "State" },</v>
      </c>
    </row>
    <row r="121" spans="1:8" x14ac:dyDescent="0.25">
      <c r="A121">
        <f t="shared" si="5"/>
        <v>120</v>
      </c>
      <c r="B121" t="s">
        <v>652</v>
      </c>
      <c r="C121" t="s">
        <v>652</v>
      </c>
      <c r="D121" t="s">
        <v>462</v>
      </c>
      <c r="F121">
        <v>83</v>
      </c>
      <c r="G121" t="str">
        <f t="shared" si="3"/>
        <v>Kerala</v>
      </c>
      <c r="H121" t="str">
        <f t="shared" si="4"/>
        <v>new Models.State() {Name = "Kerala", Code =  "Kerala", Id =120, CountryId = 83, LocalName = "Kerala", Type = "State" },</v>
      </c>
    </row>
    <row r="122" spans="1:8" x14ac:dyDescent="0.25">
      <c r="A122">
        <f t="shared" si="5"/>
        <v>121</v>
      </c>
      <c r="B122" t="s">
        <v>653</v>
      </c>
      <c r="C122" t="s">
        <v>653</v>
      </c>
      <c r="D122" t="s">
        <v>462</v>
      </c>
      <c r="F122">
        <v>83</v>
      </c>
      <c r="G122" t="str">
        <f t="shared" si="3"/>
        <v>Lakshadweep</v>
      </c>
      <c r="H122" t="str">
        <f t="shared" si="4"/>
        <v>new Models.State() {Name = "Lakshadweep", Code =  "Lakshadweep", Id =121, CountryId = 83, LocalName = "Lakshadweep", Type = "State" },</v>
      </c>
    </row>
    <row r="123" spans="1:8" x14ac:dyDescent="0.25">
      <c r="A123">
        <f t="shared" si="5"/>
        <v>122</v>
      </c>
      <c r="B123" t="s">
        <v>654</v>
      </c>
      <c r="C123" t="s">
        <v>654</v>
      </c>
      <c r="D123" t="s">
        <v>462</v>
      </c>
      <c r="F123">
        <v>83</v>
      </c>
      <c r="G123" t="str">
        <f t="shared" si="3"/>
        <v>Madhya Pradesh</v>
      </c>
      <c r="H123" t="str">
        <f t="shared" si="4"/>
        <v>new Models.State() {Name = "Madhya Pradesh", Code =  "Madhya Pradesh", Id =122, CountryId = 83, LocalName = "Madhya Pradesh", Type = "State" },</v>
      </c>
    </row>
    <row r="124" spans="1:8" x14ac:dyDescent="0.25">
      <c r="A124">
        <f t="shared" si="5"/>
        <v>123</v>
      </c>
      <c r="B124" t="s">
        <v>655</v>
      </c>
      <c r="C124" t="s">
        <v>655</v>
      </c>
      <c r="D124" t="s">
        <v>462</v>
      </c>
      <c r="F124">
        <v>83</v>
      </c>
      <c r="G124" t="str">
        <f t="shared" si="3"/>
        <v>Maharashtra</v>
      </c>
      <c r="H124" t="str">
        <f t="shared" si="4"/>
        <v>new Models.State() {Name = "Maharashtra", Code =  "Maharashtra", Id =123, CountryId = 83, LocalName = "Maharashtra", Type = "State" },</v>
      </c>
    </row>
    <row r="125" spans="1:8" x14ac:dyDescent="0.25">
      <c r="A125">
        <f t="shared" si="5"/>
        <v>124</v>
      </c>
      <c r="B125" t="s">
        <v>656</v>
      </c>
      <c r="C125" t="s">
        <v>656</v>
      </c>
      <c r="D125" t="s">
        <v>462</v>
      </c>
      <c r="F125">
        <v>83</v>
      </c>
      <c r="G125" t="str">
        <f t="shared" si="3"/>
        <v>Manipur</v>
      </c>
      <c r="H125" t="str">
        <f t="shared" si="4"/>
        <v>new Models.State() {Name = "Manipur", Code =  "Manipur", Id =124, CountryId = 83, LocalName = "Manipur", Type = "State" },</v>
      </c>
    </row>
    <row r="126" spans="1:8" x14ac:dyDescent="0.25">
      <c r="A126">
        <f t="shared" si="5"/>
        <v>125</v>
      </c>
      <c r="B126" t="s">
        <v>657</v>
      </c>
      <c r="C126" t="s">
        <v>657</v>
      </c>
      <c r="D126" t="s">
        <v>462</v>
      </c>
      <c r="F126">
        <v>83</v>
      </c>
      <c r="G126" t="str">
        <f t="shared" si="3"/>
        <v>Meghalaya</v>
      </c>
      <c r="H126" t="str">
        <f t="shared" si="4"/>
        <v>new Models.State() {Name = "Meghalaya", Code =  "Meghalaya", Id =125, CountryId = 83, LocalName = "Meghalaya", Type = "State" },</v>
      </c>
    </row>
    <row r="127" spans="1:8" x14ac:dyDescent="0.25">
      <c r="A127">
        <f t="shared" si="5"/>
        <v>126</v>
      </c>
      <c r="B127" t="s">
        <v>658</v>
      </c>
      <c r="C127" t="s">
        <v>658</v>
      </c>
      <c r="D127" t="s">
        <v>462</v>
      </c>
      <c r="F127">
        <v>83</v>
      </c>
      <c r="G127" t="str">
        <f t="shared" si="3"/>
        <v>Mizoram</v>
      </c>
      <c r="H127" t="str">
        <f t="shared" si="4"/>
        <v>new Models.State() {Name = "Mizoram", Code =  "Mizoram", Id =126, CountryId = 83, LocalName = "Mizoram", Type = "State" },</v>
      </c>
    </row>
    <row r="128" spans="1:8" x14ac:dyDescent="0.25">
      <c r="A128">
        <f t="shared" si="5"/>
        <v>127</v>
      </c>
      <c r="B128" t="s">
        <v>659</v>
      </c>
      <c r="C128" t="s">
        <v>659</v>
      </c>
      <c r="D128" t="s">
        <v>462</v>
      </c>
      <c r="F128">
        <v>83</v>
      </c>
      <c r="G128" t="str">
        <f t="shared" si="3"/>
        <v>Nagaland</v>
      </c>
      <c r="H128" t="str">
        <f t="shared" si="4"/>
        <v>new Models.State() {Name = "Nagaland", Code =  "Nagaland", Id =127, CountryId = 83, LocalName = "Nagaland", Type = "State" },</v>
      </c>
    </row>
    <row r="129" spans="1:8" x14ac:dyDescent="0.25">
      <c r="A129">
        <f t="shared" si="5"/>
        <v>128</v>
      </c>
      <c r="B129" t="s">
        <v>660</v>
      </c>
      <c r="C129" t="s">
        <v>660</v>
      </c>
      <c r="D129" t="s">
        <v>462</v>
      </c>
      <c r="F129">
        <v>83</v>
      </c>
      <c r="G129" t="str">
        <f t="shared" si="3"/>
        <v>Odisha</v>
      </c>
      <c r="H129" t="str">
        <f t="shared" si="4"/>
        <v>new Models.State() {Name = "Odisha", Code =  "Odisha", Id =128, CountryId = 83, LocalName = "Odisha", Type = "State" },</v>
      </c>
    </row>
    <row r="130" spans="1:8" x14ac:dyDescent="0.25">
      <c r="A130">
        <f t="shared" si="5"/>
        <v>129</v>
      </c>
      <c r="B130" t="s">
        <v>661</v>
      </c>
      <c r="C130" t="s">
        <v>661</v>
      </c>
      <c r="D130" t="s">
        <v>462</v>
      </c>
      <c r="F130">
        <v>83</v>
      </c>
      <c r="G130" t="str">
        <f t="shared" si="3"/>
        <v>Puducherry</v>
      </c>
      <c r="H130" t="str">
        <f t="shared" si="4"/>
        <v>new Models.State() {Name = "Puducherry", Code =  "Puducherry", Id =129, CountryId = 83, LocalName = "Puducherry", Type = "State" },</v>
      </c>
    </row>
    <row r="131" spans="1:8" x14ac:dyDescent="0.25">
      <c r="A131">
        <f t="shared" si="5"/>
        <v>130</v>
      </c>
      <c r="B131" t="s">
        <v>662</v>
      </c>
      <c r="C131" t="s">
        <v>662</v>
      </c>
      <c r="D131" t="s">
        <v>462</v>
      </c>
      <c r="F131">
        <v>83</v>
      </c>
      <c r="G131" t="str">
        <f t="shared" ref="G131:G194" si="6">IF(E131="",B131,E131)</f>
        <v>Punjab</v>
      </c>
      <c r="H131" t="str">
        <f t="shared" ref="H131:H194" si="7">"new Models.State() {Name = """&amp;B131&amp;""", Code =  """&amp;C131&amp;""", Id ="&amp;A131&amp;", CountryId = "&amp;F131&amp;", LocalName = """&amp;G131&amp;""", Type = """&amp;D131&amp;""" },"</f>
        <v>new Models.State() {Name = "Punjab", Code =  "Punjab", Id =130, CountryId = 83, LocalName = "Punjab", Type = "State" },</v>
      </c>
    </row>
    <row r="132" spans="1:8" x14ac:dyDescent="0.25">
      <c r="A132">
        <f t="shared" ref="A132:A195" si="8">1+A131</f>
        <v>131</v>
      </c>
      <c r="B132" t="s">
        <v>663</v>
      </c>
      <c r="C132" t="s">
        <v>663</v>
      </c>
      <c r="D132" t="s">
        <v>462</v>
      </c>
      <c r="F132">
        <v>83</v>
      </c>
      <c r="G132" t="str">
        <f t="shared" si="6"/>
        <v>Rajasthan</v>
      </c>
      <c r="H132" t="str">
        <f t="shared" si="7"/>
        <v>new Models.State() {Name = "Rajasthan", Code =  "Rajasthan", Id =131, CountryId = 83, LocalName = "Rajasthan", Type = "State" },</v>
      </c>
    </row>
    <row r="133" spans="1:8" x14ac:dyDescent="0.25">
      <c r="A133">
        <f t="shared" si="8"/>
        <v>132</v>
      </c>
      <c r="B133" t="s">
        <v>664</v>
      </c>
      <c r="C133" t="s">
        <v>664</v>
      </c>
      <c r="D133" t="s">
        <v>462</v>
      </c>
      <c r="F133">
        <v>83</v>
      </c>
      <c r="G133" t="str">
        <f t="shared" si="6"/>
        <v>Sikkim</v>
      </c>
      <c r="H133" t="str">
        <f t="shared" si="7"/>
        <v>new Models.State() {Name = "Sikkim", Code =  "Sikkim", Id =132, CountryId = 83, LocalName = "Sikkim", Type = "State" },</v>
      </c>
    </row>
    <row r="134" spans="1:8" x14ac:dyDescent="0.25">
      <c r="A134">
        <f t="shared" si="8"/>
        <v>133</v>
      </c>
      <c r="B134" t="s">
        <v>665</v>
      </c>
      <c r="C134" t="s">
        <v>665</v>
      </c>
      <c r="D134" t="s">
        <v>462</v>
      </c>
      <c r="F134">
        <v>83</v>
      </c>
      <c r="G134" t="str">
        <f t="shared" si="6"/>
        <v>Tamil Nadu</v>
      </c>
      <c r="H134" t="str">
        <f t="shared" si="7"/>
        <v>new Models.State() {Name = "Tamil Nadu", Code =  "Tamil Nadu", Id =133, CountryId = 83, LocalName = "Tamil Nadu", Type = "State" },</v>
      </c>
    </row>
    <row r="135" spans="1:8" x14ac:dyDescent="0.25">
      <c r="A135">
        <f t="shared" si="8"/>
        <v>134</v>
      </c>
      <c r="B135" t="s">
        <v>666</v>
      </c>
      <c r="C135" t="s">
        <v>666</v>
      </c>
      <c r="D135" t="s">
        <v>462</v>
      </c>
      <c r="F135">
        <v>83</v>
      </c>
      <c r="G135" t="str">
        <f t="shared" si="6"/>
        <v>Telangana</v>
      </c>
      <c r="H135" t="str">
        <f t="shared" si="7"/>
        <v>new Models.State() {Name = "Telangana", Code =  "Telangana", Id =134, CountryId = 83, LocalName = "Telangana", Type = "State" },</v>
      </c>
    </row>
    <row r="136" spans="1:8" x14ac:dyDescent="0.25">
      <c r="A136">
        <f t="shared" si="8"/>
        <v>135</v>
      </c>
      <c r="B136" t="s">
        <v>667</v>
      </c>
      <c r="C136" t="s">
        <v>667</v>
      </c>
      <c r="D136" t="s">
        <v>462</v>
      </c>
      <c r="F136">
        <v>83</v>
      </c>
      <c r="G136" t="str">
        <f t="shared" si="6"/>
        <v>Tripura</v>
      </c>
      <c r="H136" t="str">
        <f t="shared" si="7"/>
        <v>new Models.State() {Name = "Tripura", Code =  "Tripura", Id =135, CountryId = 83, LocalName = "Tripura", Type = "State" },</v>
      </c>
    </row>
    <row r="137" spans="1:8" x14ac:dyDescent="0.25">
      <c r="A137">
        <f t="shared" si="8"/>
        <v>136</v>
      </c>
      <c r="B137" t="s">
        <v>668</v>
      </c>
      <c r="C137" t="s">
        <v>668</v>
      </c>
      <c r="D137" t="s">
        <v>462</v>
      </c>
      <c r="F137">
        <v>83</v>
      </c>
      <c r="G137" t="str">
        <f t="shared" si="6"/>
        <v>Uttar Pradesh</v>
      </c>
      <c r="H137" t="str">
        <f t="shared" si="7"/>
        <v>new Models.State() {Name = "Uttar Pradesh", Code =  "Uttar Pradesh", Id =136, CountryId = 83, LocalName = "Uttar Pradesh", Type = "State" },</v>
      </c>
    </row>
    <row r="138" spans="1:8" x14ac:dyDescent="0.25">
      <c r="A138">
        <f t="shared" si="8"/>
        <v>137</v>
      </c>
      <c r="B138" t="s">
        <v>669</v>
      </c>
      <c r="C138" t="s">
        <v>669</v>
      </c>
      <c r="D138" t="s">
        <v>462</v>
      </c>
      <c r="F138">
        <v>83</v>
      </c>
      <c r="G138" t="str">
        <f t="shared" si="6"/>
        <v>Uttarakhand</v>
      </c>
      <c r="H138" t="str">
        <f t="shared" si="7"/>
        <v>new Models.State() {Name = "Uttarakhand", Code =  "Uttarakhand", Id =137, CountryId = 83, LocalName = "Uttarakhand", Type = "State" },</v>
      </c>
    </row>
    <row r="139" spans="1:8" x14ac:dyDescent="0.25">
      <c r="A139">
        <f t="shared" si="8"/>
        <v>138</v>
      </c>
      <c r="B139" t="s">
        <v>670</v>
      </c>
      <c r="C139" t="s">
        <v>670</v>
      </c>
      <c r="D139" t="s">
        <v>462</v>
      </c>
      <c r="F139">
        <v>83</v>
      </c>
      <c r="G139" t="str">
        <f t="shared" si="6"/>
        <v>West Bengal</v>
      </c>
      <c r="H139" t="str">
        <f t="shared" si="7"/>
        <v>new Models.State() {Name = "West Bengal", Code =  "West Bengal", Id =138, CountryId = 83, LocalName = "West Bengal", Type = "State" },</v>
      </c>
    </row>
    <row r="140" spans="1:8" x14ac:dyDescent="0.25">
      <c r="A140">
        <f t="shared" si="8"/>
        <v>139</v>
      </c>
      <c r="B140" t="s">
        <v>672</v>
      </c>
      <c r="C140" t="s">
        <v>673</v>
      </c>
      <c r="D140" t="s">
        <v>412</v>
      </c>
      <c r="F140">
        <v>84</v>
      </c>
      <c r="G140" t="str">
        <f t="shared" si="6"/>
        <v>Bali</v>
      </c>
      <c r="H140" t="str">
        <f t="shared" si="7"/>
        <v>new Models.State() {Name = "Bali", Code =  "ID-BA", Id =139, CountryId = 84, LocalName = "Bali", Type = "Province" },</v>
      </c>
    </row>
    <row r="141" spans="1:8" x14ac:dyDescent="0.25">
      <c r="A141">
        <f t="shared" si="8"/>
        <v>140</v>
      </c>
      <c r="B141" t="s">
        <v>674</v>
      </c>
      <c r="C141" t="s">
        <v>675</v>
      </c>
      <c r="D141" t="s">
        <v>412</v>
      </c>
      <c r="F141">
        <v>84</v>
      </c>
      <c r="G141" t="str">
        <f t="shared" si="6"/>
        <v>Bangka Belitung</v>
      </c>
      <c r="H141" t="str">
        <f t="shared" si="7"/>
        <v>new Models.State() {Name = "Bangka Belitung", Code =  "ID-BB", Id =140, CountryId = 84, LocalName = "Bangka Belitung", Type = "Province" },</v>
      </c>
    </row>
    <row r="142" spans="1:8" x14ac:dyDescent="0.25">
      <c r="A142">
        <f t="shared" si="8"/>
        <v>141</v>
      </c>
      <c r="B142" t="s">
        <v>676</v>
      </c>
      <c r="C142" t="s">
        <v>677</v>
      </c>
      <c r="D142" t="s">
        <v>412</v>
      </c>
      <c r="F142">
        <v>84</v>
      </c>
      <c r="G142" t="str">
        <f t="shared" si="6"/>
        <v>Banten</v>
      </c>
      <c r="H142" t="str">
        <f t="shared" si="7"/>
        <v>new Models.State() {Name = "Banten", Code =  "ID-BT", Id =141, CountryId = 84, LocalName = "Banten", Type = "Province" },</v>
      </c>
    </row>
    <row r="143" spans="1:8" x14ac:dyDescent="0.25">
      <c r="A143">
        <f t="shared" si="8"/>
        <v>142</v>
      </c>
      <c r="B143" t="s">
        <v>678</v>
      </c>
      <c r="C143" t="s">
        <v>679</v>
      </c>
      <c r="D143" t="s">
        <v>412</v>
      </c>
      <c r="F143">
        <v>84</v>
      </c>
      <c r="G143" t="str">
        <f t="shared" si="6"/>
        <v>Bengkulu</v>
      </c>
      <c r="H143" t="str">
        <f t="shared" si="7"/>
        <v>new Models.State() {Name = "Bengkulu", Code =  "ID-BE", Id =142, CountryId = 84, LocalName = "Bengkulu", Type = "Province" },</v>
      </c>
    </row>
    <row r="144" spans="1:8" x14ac:dyDescent="0.25">
      <c r="A144">
        <f t="shared" si="8"/>
        <v>143</v>
      </c>
      <c r="B144" t="s">
        <v>680</v>
      </c>
      <c r="C144" t="s">
        <v>681</v>
      </c>
      <c r="D144" t="s">
        <v>412</v>
      </c>
      <c r="F144">
        <v>84</v>
      </c>
      <c r="G144" t="str">
        <f t="shared" si="6"/>
        <v>DI Yogyakarta</v>
      </c>
      <c r="H144" t="str">
        <f t="shared" si="7"/>
        <v>new Models.State() {Name = "DI Yogyakarta", Code =  "ID-YO", Id =143, CountryId = 84, LocalName = "DI Yogyakarta", Type = "Province" },</v>
      </c>
    </row>
    <row r="145" spans="1:8" x14ac:dyDescent="0.25">
      <c r="A145">
        <f t="shared" si="8"/>
        <v>144</v>
      </c>
      <c r="B145" t="s">
        <v>682</v>
      </c>
      <c r="C145" t="s">
        <v>683</v>
      </c>
      <c r="D145" t="s">
        <v>412</v>
      </c>
      <c r="F145">
        <v>84</v>
      </c>
      <c r="G145" t="str">
        <f t="shared" si="6"/>
        <v>DKI Jakarta</v>
      </c>
      <c r="H145" t="str">
        <f t="shared" si="7"/>
        <v>new Models.State() {Name = "DKI Jakarta", Code =  "ID-JK", Id =144, CountryId = 84, LocalName = "DKI Jakarta", Type = "Province" },</v>
      </c>
    </row>
    <row r="146" spans="1:8" x14ac:dyDescent="0.25">
      <c r="A146">
        <f t="shared" si="8"/>
        <v>145</v>
      </c>
      <c r="B146" t="s">
        <v>684</v>
      </c>
      <c r="C146" t="s">
        <v>685</v>
      </c>
      <c r="D146" t="s">
        <v>412</v>
      </c>
      <c r="F146">
        <v>84</v>
      </c>
      <c r="G146" t="str">
        <f t="shared" si="6"/>
        <v>Gorontalo</v>
      </c>
      <c r="H146" t="str">
        <f t="shared" si="7"/>
        <v>new Models.State() {Name = "Gorontalo", Code =  "ID-GO", Id =145, CountryId = 84, LocalName = "Gorontalo", Type = "Province" },</v>
      </c>
    </row>
    <row r="147" spans="1:8" x14ac:dyDescent="0.25">
      <c r="A147">
        <f t="shared" si="8"/>
        <v>146</v>
      </c>
      <c r="B147" t="s">
        <v>686</v>
      </c>
      <c r="C147" t="s">
        <v>687</v>
      </c>
      <c r="D147" t="s">
        <v>412</v>
      </c>
      <c r="F147">
        <v>84</v>
      </c>
      <c r="G147" t="str">
        <f t="shared" si="6"/>
        <v>Jambi</v>
      </c>
      <c r="H147" t="str">
        <f t="shared" si="7"/>
        <v>new Models.State() {Name = "Jambi", Code =  "ID-JA", Id =146, CountryId = 84, LocalName = "Jambi", Type = "Province" },</v>
      </c>
    </row>
    <row r="148" spans="1:8" x14ac:dyDescent="0.25">
      <c r="A148">
        <f t="shared" si="8"/>
        <v>147</v>
      </c>
      <c r="B148" t="s">
        <v>688</v>
      </c>
      <c r="C148" t="s">
        <v>689</v>
      </c>
      <c r="D148" t="s">
        <v>412</v>
      </c>
      <c r="F148">
        <v>84</v>
      </c>
      <c r="G148" t="str">
        <f t="shared" si="6"/>
        <v>Jawa Barat</v>
      </c>
      <c r="H148" t="str">
        <f t="shared" si="7"/>
        <v>new Models.State() {Name = "Jawa Barat", Code =  "ID-JB", Id =147, CountryId = 84, LocalName = "Jawa Barat", Type = "Province" },</v>
      </c>
    </row>
    <row r="149" spans="1:8" x14ac:dyDescent="0.25">
      <c r="A149">
        <f t="shared" si="8"/>
        <v>148</v>
      </c>
      <c r="B149" t="s">
        <v>690</v>
      </c>
      <c r="C149" t="s">
        <v>691</v>
      </c>
      <c r="D149" t="s">
        <v>412</v>
      </c>
      <c r="F149">
        <v>84</v>
      </c>
      <c r="G149" t="str">
        <f t="shared" si="6"/>
        <v>Jawa Tengah</v>
      </c>
      <c r="H149" t="str">
        <f t="shared" si="7"/>
        <v>new Models.State() {Name = "Jawa Tengah", Code =  "ID-JT", Id =148, CountryId = 84, LocalName = "Jawa Tengah", Type = "Province" },</v>
      </c>
    </row>
    <row r="150" spans="1:8" x14ac:dyDescent="0.25">
      <c r="A150">
        <f t="shared" si="8"/>
        <v>149</v>
      </c>
      <c r="B150" t="s">
        <v>692</v>
      </c>
      <c r="C150" t="s">
        <v>693</v>
      </c>
      <c r="D150" t="s">
        <v>412</v>
      </c>
      <c r="F150">
        <v>84</v>
      </c>
      <c r="G150" t="str">
        <f t="shared" si="6"/>
        <v>Jawa Timur</v>
      </c>
      <c r="H150" t="str">
        <f t="shared" si="7"/>
        <v>new Models.State() {Name = "Jawa Timur", Code =  "ID-JI", Id =149, CountryId = 84, LocalName = "Jawa Timur", Type = "Province" },</v>
      </c>
    </row>
    <row r="151" spans="1:8" x14ac:dyDescent="0.25">
      <c r="A151">
        <f t="shared" si="8"/>
        <v>150</v>
      </c>
      <c r="B151" t="s">
        <v>694</v>
      </c>
      <c r="C151" t="s">
        <v>695</v>
      </c>
      <c r="D151" t="s">
        <v>412</v>
      </c>
      <c r="F151">
        <v>84</v>
      </c>
      <c r="G151" t="str">
        <f t="shared" si="6"/>
        <v>Kalimantan Barat</v>
      </c>
      <c r="H151" t="str">
        <f t="shared" si="7"/>
        <v>new Models.State() {Name = "Kalimantan Barat", Code =  "ID-KB", Id =150, CountryId = 84, LocalName = "Kalimantan Barat", Type = "Province" },</v>
      </c>
    </row>
    <row r="152" spans="1:8" x14ac:dyDescent="0.25">
      <c r="A152">
        <f t="shared" si="8"/>
        <v>151</v>
      </c>
      <c r="B152" t="s">
        <v>696</v>
      </c>
      <c r="C152" t="s">
        <v>697</v>
      </c>
      <c r="D152" t="s">
        <v>412</v>
      </c>
      <c r="F152">
        <v>84</v>
      </c>
      <c r="G152" t="str">
        <f t="shared" si="6"/>
        <v>Kalimantan Selatan</v>
      </c>
      <c r="H152" t="str">
        <f t="shared" si="7"/>
        <v>new Models.State() {Name = "Kalimantan Selatan", Code =  "ID-KS", Id =151, CountryId = 84, LocalName = "Kalimantan Selatan", Type = "Province" },</v>
      </c>
    </row>
    <row r="153" spans="1:8" x14ac:dyDescent="0.25">
      <c r="A153">
        <f t="shared" si="8"/>
        <v>152</v>
      </c>
      <c r="B153" t="s">
        <v>698</v>
      </c>
      <c r="C153" t="s">
        <v>699</v>
      </c>
      <c r="D153" t="s">
        <v>412</v>
      </c>
      <c r="F153">
        <v>84</v>
      </c>
      <c r="G153" t="str">
        <f t="shared" si="6"/>
        <v>Kalimantan Tengah</v>
      </c>
      <c r="H153" t="str">
        <f t="shared" si="7"/>
        <v>new Models.State() {Name = "Kalimantan Tengah", Code =  "ID-KT", Id =152, CountryId = 84, LocalName = "Kalimantan Tengah", Type = "Province" },</v>
      </c>
    </row>
    <row r="154" spans="1:8" x14ac:dyDescent="0.25">
      <c r="A154">
        <f t="shared" si="8"/>
        <v>153</v>
      </c>
      <c r="B154" t="s">
        <v>700</v>
      </c>
      <c r="C154" t="s">
        <v>701</v>
      </c>
      <c r="D154" t="s">
        <v>412</v>
      </c>
      <c r="F154">
        <v>84</v>
      </c>
      <c r="G154" t="str">
        <f t="shared" si="6"/>
        <v>Kalimantan Timur</v>
      </c>
      <c r="H154" t="str">
        <f t="shared" si="7"/>
        <v>new Models.State() {Name = "Kalimantan Timur", Code =  "ID-KI", Id =153, CountryId = 84, LocalName = "Kalimantan Timur", Type = "Province" },</v>
      </c>
    </row>
    <row r="155" spans="1:8" x14ac:dyDescent="0.25">
      <c r="A155">
        <f t="shared" si="8"/>
        <v>154</v>
      </c>
      <c r="B155" t="s">
        <v>702</v>
      </c>
      <c r="C155" t="s">
        <v>703</v>
      </c>
      <c r="D155" t="s">
        <v>412</v>
      </c>
      <c r="F155">
        <v>84</v>
      </c>
      <c r="G155" t="str">
        <f t="shared" si="6"/>
        <v>Kalimantan Utara</v>
      </c>
      <c r="H155" t="str">
        <f t="shared" si="7"/>
        <v>new Models.State() {Name = "Kalimantan Utara", Code =  "ID-KU", Id =154, CountryId = 84, LocalName = "Kalimantan Utara", Type = "Province" },</v>
      </c>
    </row>
    <row r="156" spans="1:8" x14ac:dyDescent="0.25">
      <c r="A156">
        <f t="shared" si="8"/>
        <v>155</v>
      </c>
      <c r="B156" t="s">
        <v>704</v>
      </c>
      <c r="C156" t="s">
        <v>705</v>
      </c>
      <c r="D156" t="s">
        <v>412</v>
      </c>
      <c r="F156">
        <v>84</v>
      </c>
      <c r="G156" t="str">
        <f t="shared" si="6"/>
        <v>Kepulauan Riau</v>
      </c>
      <c r="H156" t="str">
        <f t="shared" si="7"/>
        <v>new Models.State() {Name = "Kepulauan Riau", Code =  "ID-KR", Id =155, CountryId = 84, LocalName = "Kepulauan Riau", Type = "Province" },</v>
      </c>
    </row>
    <row r="157" spans="1:8" x14ac:dyDescent="0.25">
      <c r="A157">
        <f t="shared" si="8"/>
        <v>156</v>
      </c>
      <c r="B157" t="s">
        <v>706</v>
      </c>
      <c r="C157" t="s">
        <v>707</v>
      </c>
      <c r="D157" t="s">
        <v>412</v>
      </c>
      <c r="F157">
        <v>84</v>
      </c>
      <c r="G157" t="str">
        <f t="shared" si="6"/>
        <v>Lampung</v>
      </c>
      <c r="H157" t="str">
        <f t="shared" si="7"/>
        <v>new Models.State() {Name = "Lampung", Code =  "ID-LA", Id =156, CountryId = 84, LocalName = "Lampung", Type = "Province" },</v>
      </c>
    </row>
    <row r="158" spans="1:8" x14ac:dyDescent="0.25">
      <c r="A158">
        <f t="shared" si="8"/>
        <v>157</v>
      </c>
      <c r="B158" t="s">
        <v>708</v>
      </c>
      <c r="C158" t="s">
        <v>709</v>
      </c>
      <c r="D158" t="s">
        <v>412</v>
      </c>
      <c r="F158">
        <v>84</v>
      </c>
      <c r="G158" t="str">
        <f t="shared" si="6"/>
        <v>Maluku</v>
      </c>
      <c r="H158" t="str">
        <f t="shared" si="7"/>
        <v>new Models.State() {Name = "Maluku", Code =  "ID-MA", Id =157, CountryId = 84, LocalName = "Maluku", Type = "Province" },</v>
      </c>
    </row>
    <row r="159" spans="1:8" x14ac:dyDescent="0.25">
      <c r="A159">
        <f t="shared" si="8"/>
        <v>158</v>
      </c>
      <c r="B159" t="s">
        <v>710</v>
      </c>
      <c r="C159" t="s">
        <v>711</v>
      </c>
      <c r="D159" t="s">
        <v>412</v>
      </c>
      <c r="F159">
        <v>84</v>
      </c>
      <c r="G159" t="str">
        <f t="shared" si="6"/>
        <v>Maluku Utara</v>
      </c>
      <c r="H159" t="str">
        <f t="shared" si="7"/>
        <v>new Models.State() {Name = "Maluku Utara", Code =  "ID-MU", Id =158, CountryId = 84, LocalName = "Maluku Utara", Type = "Province" },</v>
      </c>
    </row>
    <row r="160" spans="1:8" x14ac:dyDescent="0.25">
      <c r="A160">
        <f t="shared" si="8"/>
        <v>159</v>
      </c>
      <c r="B160" t="s">
        <v>712</v>
      </c>
      <c r="C160" t="s">
        <v>713</v>
      </c>
      <c r="D160" t="s">
        <v>412</v>
      </c>
      <c r="F160">
        <v>84</v>
      </c>
      <c r="G160" t="str">
        <f t="shared" si="6"/>
        <v>Nanggroe Aceh Darussalam</v>
      </c>
      <c r="H160" t="str">
        <f t="shared" si="7"/>
        <v>new Models.State() {Name = "Nanggroe Aceh Darussalam", Code =  "ID-AC", Id =159, CountryId = 84, LocalName = "Nanggroe Aceh Darussalam", Type = "Province" },</v>
      </c>
    </row>
    <row r="161" spans="1:8" x14ac:dyDescent="0.25">
      <c r="A161">
        <f t="shared" si="8"/>
        <v>160</v>
      </c>
      <c r="B161" t="s">
        <v>714</v>
      </c>
      <c r="C161" t="s">
        <v>715</v>
      </c>
      <c r="D161" t="s">
        <v>412</v>
      </c>
      <c r="F161">
        <v>84</v>
      </c>
      <c r="G161" t="str">
        <f t="shared" si="6"/>
        <v>Nusa Tenggara Barat</v>
      </c>
      <c r="H161" t="str">
        <f t="shared" si="7"/>
        <v>new Models.State() {Name = "Nusa Tenggara Barat", Code =  "ID-NB", Id =160, CountryId = 84, LocalName = "Nusa Tenggara Barat", Type = "Province" },</v>
      </c>
    </row>
    <row r="162" spans="1:8" x14ac:dyDescent="0.25">
      <c r="A162">
        <f t="shared" si="8"/>
        <v>161</v>
      </c>
      <c r="B162" t="s">
        <v>716</v>
      </c>
      <c r="C162" t="s">
        <v>717</v>
      </c>
      <c r="D162" t="s">
        <v>412</v>
      </c>
      <c r="F162">
        <v>84</v>
      </c>
      <c r="G162" t="str">
        <f t="shared" si="6"/>
        <v>Nusa Tenggara Timur</v>
      </c>
      <c r="H162" t="str">
        <f t="shared" si="7"/>
        <v>new Models.State() {Name = "Nusa Tenggara Timur", Code =  "ID-NT", Id =161, CountryId = 84, LocalName = "Nusa Tenggara Timur", Type = "Province" },</v>
      </c>
    </row>
    <row r="163" spans="1:8" x14ac:dyDescent="0.25">
      <c r="A163">
        <f t="shared" si="8"/>
        <v>162</v>
      </c>
      <c r="B163" t="s">
        <v>718</v>
      </c>
      <c r="C163" t="s">
        <v>719</v>
      </c>
      <c r="D163" t="s">
        <v>412</v>
      </c>
      <c r="F163">
        <v>84</v>
      </c>
      <c r="G163" t="str">
        <f t="shared" si="6"/>
        <v>Papua</v>
      </c>
      <c r="H163" t="str">
        <f t="shared" si="7"/>
        <v>new Models.State() {Name = "Papua", Code =  "ID-PA", Id =162, CountryId = 84, LocalName = "Papua", Type = "Province" },</v>
      </c>
    </row>
    <row r="164" spans="1:8" x14ac:dyDescent="0.25">
      <c r="A164">
        <f t="shared" si="8"/>
        <v>163</v>
      </c>
      <c r="B164" t="s">
        <v>720</v>
      </c>
      <c r="C164" t="s">
        <v>721</v>
      </c>
      <c r="D164" t="s">
        <v>412</v>
      </c>
      <c r="F164">
        <v>84</v>
      </c>
      <c r="G164" t="str">
        <f t="shared" si="6"/>
        <v>Papua Barat</v>
      </c>
      <c r="H164" t="str">
        <f t="shared" si="7"/>
        <v>new Models.State() {Name = "Papua Barat", Code =  "ID-PB", Id =163, CountryId = 84, LocalName = "Papua Barat", Type = "Province" },</v>
      </c>
    </row>
    <row r="165" spans="1:8" x14ac:dyDescent="0.25">
      <c r="A165">
        <f t="shared" si="8"/>
        <v>164</v>
      </c>
      <c r="B165" t="s">
        <v>722</v>
      </c>
      <c r="C165" t="s">
        <v>723</v>
      </c>
      <c r="D165" t="s">
        <v>412</v>
      </c>
      <c r="F165">
        <v>84</v>
      </c>
      <c r="G165" t="str">
        <f t="shared" si="6"/>
        <v>Riau</v>
      </c>
      <c r="H165" t="str">
        <f t="shared" si="7"/>
        <v>new Models.State() {Name = "Riau", Code =  "ID-RI", Id =164, CountryId = 84, LocalName = "Riau", Type = "Province" },</v>
      </c>
    </row>
    <row r="166" spans="1:8" x14ac:dyDescent="0.25">
      <c r="A166">
        <f t="shared" si="8"/>
        <v>165</v>
      </c>
      <c r="B166" t="s">
        <v>724</v>
      </c>
      <c r="C166" t="s">
        <v>725</v>
      </c>
      <c r="D166" t="s">
        <v>412</v>
      </c>
      <c r="F166">
        <v>84</v>
      </c>
      <c r="G166" t="str">
        <f t="shared" si="6"/>
        <v>Sulawesi Barat</v>
      </c>
      <c r="H166" t="str">
        <f t="shared" si="7"/>
        <v>new Models.State() {Name = "Sulawesi Barat", Code =  "ID-SR", Id =165, CountryId = 84, LocalName = "Sulawesi Barat", Type = "Province" },</v>
      </c>
    </row>
    <row r="167" spans="1:8" x14ac:dyDescent="0.25">
      <c r="A167">
        <f t="shared" si="8"/>
        <v>166</v>
      </c>
      <c r="B167" t="s">
        <v>726</v>
      </c>
      <c r="C167" t="s">
        <v>727</v>
      </c>
      <c r="D167" t="s">
        <v>412</v>
      </c>
      <c r="F167">
        <v>84</v>
      </c>
      <c r="G167" t="str">
        <f t="shared" si="6"/>
        <v>Sulawesi Selatan</v>
      </c>
      <c r="H167" t="str">
        <f t="shared" si="7"/>
        <v>new Models.State() {Name = "Sulawesi Selatan", Code =  "ID-SN", Id =166, CountryId = 84, LocalName = "Sulawesi Selatan", Type = "Province" },</v>
      </c>
    </row>
    <row r="168" spans="1:8" x14ac:dyDescent="0.25">
      <c r="A168">
        <f t="shared" si="8"/>
        <v>167</v>
      </c>
      <c r="B168" t="s">
        <v>728</v>
      </c>
      <c r="C168" t="s">
        <v>729</v>
      </c>
      <c r="D168" t="s">
        <v>412</v>
      </c>
      <c r="F168">
        <v>84</v>
      </c>
      <c r="G168" t="str">
        <f t="shared" si="6"/>
        <v>Sulawesi Tengah</v>
      </c>
      <c r="H168" t="str">
        <f t="shared" si="7"/>
        <v>new Models.State() {Name = "Sulawesi Tengah", Code =  "ID-ST", Id =167, CountryId = 84, LocalName = "Sulawesi Tengah", Type = "Province" },</v>
      </c>
    </row>
    <row r="169" spans="1:8" x14ac:dyDescent="0.25">
      <c r="A169">
        <f t="shared" si="8"/>
        <v>168</v>
      </c>
      <c r="B169" t="s">
        <v>730</v>
      </c>
      <c r="C169" t="s">
        <v>731</v>
      </c>
      <c r="D169" t="s">
        <v>412</v>
      </c>
      <c r="F169">
        <v>84</v>
      </c>
      <c r="G169" t="str">
        <f t="shared" si="6"/>
        <v>Sulawesi Tenggara</v>
      </c>
      <c r="H169" t="str">
        <f t="shared" si="7"/>
        <v>new Models.State() {Name = "Sulawesi Tenggara", Code =  "ID-SG", Id =168, CountryId = 84, LocalName = "Sulawesi Tenggara", Type = "Province" },</v>
      </c>
    </row>
    <row r="170" spans="1:8" x14ac:dyDescent="0.25">
      <c r="A170">
        <f t="shared" si="8"/>
        <v>169</v>
      </c>
      <c r="B170" t="s">
        <v>732</v>
      </c>
      <c r="C170" t="s">
        <v>733</v>
      </c>
      <c r="D170" t="s">
        <v>412</v>
      </c>
      <c r="F170">
        <v>84</v>
      </c>
      <c r="G170" t="str">
        <f t="shared" si="6"/>
        <v>Sulawesi Utara</v>
      </c>
      <c r="H170" t="str">
        <f t="shared" si="7"/>
        <v>new Models.State() {Name = "Sulawesi Utara", Code =  "ID-SA", Id =169, CountryId = 84, LocalName = "Sulawesi Utara", Type = "Province" },</v>
      </c>
    </row>
    <row r="171" spans="1:8" x14ac:dyDescent="0.25">
      <c r="A171">
        <f t="shared" si="8"/>
        <v>170</v>
      </c>
      <c r="B171" t="s">
        <v>734</v>
      </c>
      <c r="C171" t="s">
        <v>735</v>
      </c>
      <c r="D171" t="s">
        <v>412</v>
      </c>
      <c r="F171">
        <v>84</v>
      </c>
      <c r="G171" t="str">
        <f t="shared" si="6"/>
        <v>Sumatera Barat</v>
      </c>
      <c r="H171" t="str">
        <f t="shared" si="7"/>
        <v>new Models.State() {Name = "Sumatera Barat", Code =  "ID-SB", Id =170, CountryId = 84, LocalName = "Sumatera Barat", Type = "Province" },</v>
      </c>
    </row>
    <row r="172" spans="1:8" x14ac:dyDescent="0.25">
      <c r="A172">
        <f t="shared" si="8"/>
        <v>171</v>
      </c>
      <c r="B172" t="s">
        <v>736</v>
      </c>
      <c r="C172" t="s">
        <v>737</v>
      </c>
      <c r="D172" t="s">
        <v>412</v>
      </c>
      <c r="F172">
        <v>84</v>
      </c>
      <c r="G172" t="str">
        <f t="shared" si="6"/>
        <v>Sumatera Selatan</v>
      </c>
      <c r="H172" t="str">
        <f t="shared" si="7"/>
        <v>new Models.State() {Name = "Sumatera Selatan", Code =  "ID-SS", Id =171, CountryId = 84, LocalName = "Sumatera Selatan", Type = "Province" },</v>
      </c>
    </row>
    <row r="173" spans="1:8" x14ac:dyDescent="0.25">
      <c r="A173">
        <f t="shared" si="8"/>
        <v>172</v>
      </c>
      <c r="B173" t="s">
        <v>738</v>
      </c>
      <c r="C173" t="s">
        <v>739</v>
      </c>
      <c r="D173" t="s">
        <v>412</v>
      </c>
      <c r="F173">
        <v>84</v>
      </c>
      <c r="G173" t="str">
        <f t="shared" si="6"/>
        <v>Sumatera Utara</v>
      </c>
      <c r="H173" t="str">
        <f t="shared" si="7"/>
        <v>new Models.State() {Name = "Sumatera Utara", Code =  "ID-SU", Id =172, CountryId = 84, LocalName = "Sumatera Utara", Type = "Province" },</v>
      </c>
    </row>
    <row r="174" spans="1:8" x14ac:dyDescent="0.25">
      <c r="A174">
        <f t="shared" si="8"/>
        <v>173</v>
      </c>
      <c r="B174" t="s">
        <v>741</v>
      </c>
      <c r="C174" t="s">
        <v>11</v>
      </c>
      <c r="D174" t="s">
        <v>412</v>
      </c>
      <c r="F174">
        <v>87</v>
      </c>
      <c r="G174" t="str">
        <f t="shared" si="6"/>
        <v>Agrigento</v>
      </c>
      <c r="H174" t="str">
        <f t="shared" si="7"/>
        <v>new Models.State() {Name = "Agrigento", Code =  "AG", Id =173, CountryId = 87, LocalName = "Agrigento", Type = "Province" },</v>
      </c>
    </row>
    <row r="175" spans="1:8" x14ac:dyDescent="0.25">
      <c r="A175">
        <f t="shared" si="8"/>
        <v>174</v>
      </c>
      <c r="B175" t="s">
        <v>742</v>
      </c>
      <c r="C175" t="s">
        <v>1</v>
      </c>
      <c r="D175" t="s">
        <v>412</v>
      </c>
      <c r="F175">
        <v>87</v>
      </c>
      <c r="G175" t="str">
        <f t="shared" si="6"/>
        <v>Alessandria</v>
      </c>
      <c r="H175" t="str">
        <f t="shared" si="7"/>
        <v>new Models.State() {Name = "Alessandria", Code =  "AL", Id =174, CountryId = 87, LocalName = "Alessandria", Type = "Province" },</v>
      </c>
    </row>
    <row r="176" spans="1:8" x14ac:dyDescent="0.25">
      <c r="A176">
        <f t="shared" si="8"/>
        <v>175</v>
      </c>
      <c r="B176" t="s">
        <v>743</v>
      </c>
      <c r="C176" t="s">
        <v>744</v>
      </c>
      <c r="D176" t="s">
        <v>412</v>
      </c>
      <c r="F176">
        <v>87</v>
      </c>
      <c r="G176" t="str">
        <f t="shared" si="6"/>
        <v>Ancona</v>
      </c>
      <c r="H176" t="str">
        <f t="shared" si="7"/>
        <v>new Models.State() {Name = "Ancona", Code =  "AN", Id =175, CountryId = 87, LocalName = "Ancona", Type = "Province" },</v>
      </c>
    </row>
    <row r="177" spans="1:8" x14ac:dyDescent="0.25">
      <c r="A177">
        <f t="shared" si="8"/>
        <v>176</v>
      </c>
      <c r="B177" t="s">
        <v>745</v>
      </c>
      <c r="C177" t="s">
        <v>7</v>
      </c>
      <c r="D177" t="s">
        <v>412</v>
      </c>
      <c r="F177">
        <v>87</v>
      </c>
      <c r="G177" t="str">
        <f t="shared" si="6"/>
        <v>Aosta</v>
      </c>
      <c r="H177" t="str">
        <f t="shared" si="7"/>
        <v>new Models.State() {Name = "Aosta", Code =  "AO", Id =176, CountryId = 87, LocalName = "Aosta", Type = "Province" },</v>
      </c>
    </row>
    <row r="178" spans="1:8" x14ac:dyDescent="0.25">
      <c r="A178">
        <f t="shared" si="8"/>
        <v>177</v>
      </c>
      <c r="B178" t="s">
        <v>746</v>
      </c>
      <c r="C178" t="s">
        <v>13</v>
      </c>
      <c r="D178" t="s">
        <v>412</v>
      </c>
      <c r="F178">
        <v>87</v>
      </c>
      <c r="G178" t="str">
        <f t="shared" si="6"/>
        <v>Arezzo</v>
      </c>
      <c r="H178" t="str">
        <f t="shared" si="7"/>
        <v>new Models.State() {Name = "Arezzo", Code =  "AR", Id =177, CountryId = 87, LocalName = "Arezzo", Type = "Province" },</v>
      </c>
    </row>
    <row r="179" spans="1:8" x14ac:dyDescent="0.25">
      <c r="A179">
        <f t="shared" si="8"/>
        <v>178</v>
      </c>
      <c r="B179" t="s">
        <v>747</v>
      </c>
      <c r="C179" t="s">
        <v>465</v>
      </c>
      <c r="D179" t="s">
        <v>412</v>
      </c>
      <c r="F179">
        <v>87</v>
      </c>
      <c r="G179" t="str">
        <f t="shared" si="6"/>
        <v>Ascoli Piceno</v>
      </c>
      <c r="H179" t="str">
        <f t="shared" si="7"/>
        <v>new Models.State() {Name = "Ascoli Piceno", Code =  "AP", Id =178, CountryId = 87, LocalName = "Ascoli Piceno", Type = "Province" },</v>
      </c>
    </row>
    <row r="180" spans="1:8" x14ac:dyDescent="0.25">
      <c r="A180">
        <f t="shared" si="8"/>
        <v>179</v>
      </c>
      <c r="B180" t="s">
        <v>748</v>
      </c>
      <c r="C180" t="s">
        <v>21</v>
      </c>
      <c r="D180" t="s">
        <v>412</v>
      </c>
      <c r="F180">
        <v>87</v>
      </c>
      <c r="G180" t="str">
        <f t="shared" si="6"/>
        <v>Asti</v>
      </c>
      <c r="H180" t="str">
        <f t="shared" si="7"/>
        <v>new Models.State() {Name = "Asti", Code =  "AT", Id =179, CountryId = 87, LocalName = "Asti", Type = "Province" },</v>
      </c>
    </row>
    <row r="181" spans="1:8" x14ac:dyDescent="0.25">
      <c r="A181">
        <f t="shared" si="8"/>
        <v>180</v>
      </c>
      <c r="B181" t="s">
        <v>749</v>
      </c>
      <c r="C181" t="s">
        <v>750</v>
      </c>
      <c r="D181" t="s">
        <v>412</v>
      </c>
      <c r="F181">
        <v>87</v>
      </c>
      <c r="G181" t="str">
        <f t="shared" si="6"/>
        <v>Avellino</v>
      </c>
      <c r="H181" t="str">
        <f t="shared" si="7"/>
        <v>new Models.State() {Name = "Avellino", Code =  "AV", Id =180, CountryId = 87, LocalName = "Avellino", Type = "Province" },</v>
      </c>
    </row>
    <row r="182" spans="1:8" x14ac:dyDescent="0.25">
      <c r="A182">
        <f t="shared" si="8"/>
        <v>181</v>
      </c>
      <c r="B182" t="s">
        <v>751</v>
      </c>
      <c r="C182" t="s">
        <v>45</v>
      </c>
      <c r="D182" t="s">
        <v>412</v>
      </c>
      <c r="F182">
        <v>87</v>
      </c>
      <c r="G182" t="str">
        <f t="shared" si="6"/>
        <v>Bari</v>
      </c>
      <c r="H182" t="str">
        <f t="shared" si="7"/>
        <v>new Models.State() {Name = "Bari", Code =  "BA", Id =181, CountryId = 87, LocalName = "Bari", Type = "Province" },</v>
      </c>
    </row>
    <row r="183" spans="1:8" x14ac:dyDescent="0.25">
      <c r="A183">
        <f t="shared" si="8"/>
        <v>182</v>
      </c>
      <c r="B183" t="s">
        <v>752</v>
      </c>
      <c r="C183" t="s">
        <v>41</v>
      </c>
      <c r="D183" t="s">
        <v>412</v>
      </c>
      <c r="F183">
        <v>87</v>
      </c>
      <c r="G183" t="str">
        <f t="shared" si="6"/>
        <v>Barletta-Andria-Trani</v>
      </c>
      <c r="H183" t="str">
        <f t="shared" si="7"/>
        <v>new Models.State() {Name = "Barletta-Andria-Trani", Code =  "BT", Id =182, CountryId = 87, LocalName = "Barletta-Andria-Trani", Type = "Province" },</v>
      </c>
    </row>
    <row r="184" spans="1:8" x14ac:dyDescent="0.25">
      <c r="A184">
        <f t="shared" si="8"/>
        <v>183</v>
      </c>
      <c r="B184" t="s">
        <v>753</v>
      </c>
      <c r="C184" t="s">
        <v>754</v>
      </c>
      <c r="D184" t="s">
        <v>412</v>
      </c>
      <c r="F184">
        <v>87</v>
      </c>
      <c r="G184" t="str">
        <f t="shared" si="6"/>
        <v>Belluno</v>
      </c>
      <c r="H184" t="str">
        <f t="shared" si="7"/>
        <v>new Models.State() {Name = "Belluno", Code =  "BL", Id =183, CountryId = 87, LocalName = "Belluno", Type = "Province" },</v>
      </c>
    </row>
    <row r="185" spans="1:8" x14ac:dyDescent="0.25">
      <c r="A185">
        <f t="shared" si="8"/>
        <v>184</v>
      </c>
      <c r="B185" t="s">
        <v>755</v>
      </c>
      <c r="C185" t="s">
        <v>53</v>
      </c>
      <c r="D185" t="s">
        <v>412</v>
      </c>
      <c r="F185">
        <v>87</v>
      </c>
      <c r="G185" t="str">
        <f t="shared" si="6"/>
        <v>Benevento</v>
      </c>
      <c r="H185" t="str">
        <f t="shared" si="7"/>
        <v>new Models.State() {Name = "Benevento", Code =  "BN", Id =184, CountryId = 87, LocalName = "Benevento", Type = "Province" },</v>
      </c>
    </row>
    <row r="186" spans="1:8" x14ac:dyDescent="0.25">
      <c r="A186">
        <f t="shared" si="8"/>
        <v>185</v>
      </c>
      <c r="B186" t="s">
        <v>756</v>
      </c>
      <c r="C186" t="s">
        <v>55</v>
      </c>
      <c r="D186" t="s">
        <v>412</v>
      </c>
      <c r="F186">
        <v>87</v>
      </c>
      <c r="G186" t="str">
        <f t="shared" si="6"/>
        <v>Bergamo</v>
      </c>
      <c r="H186" t="str">
        <f t="shared" si="7"/>
        <v>new Models.State() {Name = "Bergamo", Code =  "BG", Id =185, CountryId = 87, LocalName = "Bergamo", Type = "Province" },</v>
      </c>
    </row>
    <row r="187" spans="1:8" x14ac:dyDescent="0.25">
      <c r="A187">
        <f t="shared" si="8"/>
        <v>186</v>
      </c>
      <c r="B187" t="s">
        <v>757</v>
      </c>
      <c r="C187" t="s">
        <v>59</v>
      </c>
      <c r="D187" t="s">
        <v>412</v>
      </c>
      <c r="F187">
        <v>87</v>
      </c>
      <c r="G187" t="str">
        <f t="shared" si="6"/>
        <v>Biella</v>
      </c>
      <c r="H187" t="str">
        <f t="shared" si="7"/>
        <v>new Models.State() {Name = "Biella", Code =  "BI", Id =186, CountryId = 87, LocalName = "Biella", Type = "Province" },</v>
      </c>
    </row>
    <row r="188" spans="1:8" x14ac:dyDescent="0.25">
      <c r="A188">
        <f t="shared" si="8"/>
        <v>187</v>
      </c>
      <c r="B188" t="s">
        <v>758</v>
      </c>
      <c r="C188" t="s">
        <v>43</v>
      </c>
      <c r="D188" t="s">
        <v>412</v>
      </c>
      <c r="F188">
        <v>87</v>
      </c>
      <c r="G188" t="str">
        <f t="shared" si="6"/>
        <v>Bologna</v>
      </c>
      <c r="H188" t="str">
        <f t="shared" si="7"/>
        <v>new Models.State() {Name = "Bologna", Code =  "BO", Id =187, CountryId = 87, LocalName = "Bologna", Type = "Province" },</v>
      </c>
    </row>
    <row r="189" spans="1:8" x14ac:dyDescent="0.25">
      <c r="A189">
        <f t="shared" si="8"/>
        <v>188</v>
      </c>
      <c r="B189" t="s">
        <v>759</v>
      </c>
      <c r="C189" t="s">
        <v>35</v>
      </c>
      <c r="D189" t="s">
        <v>412</v>
      </c>
      <c r="F189">
        <v>87</v>
      </c>
      <c r="G189" t="str">
        <f t="shared" si="6"/>
        <v>Bolzano</v>
      </c>
      <c r="H189" t="str">
        <f t="shared" si="7"/>
        <v>new Models.State() {Name = "Bolzano", Code =  "BZ", Id =188, CountryId = 87, LocalName = "Bolzano", Type = "Province" },</v>
      </c>
    </row>
    <row r="190" spans="1:8" x14ac:dyDescent="0.25">
      <c r="A190">
        <f t="shared" si="8"/>
        <v>189</v>
      </c>
      <c r="B190" t="s">
        <v>760</v>
      </c>
      <c r="C190" t="s">
        <v>25</v>
      </c>
      <c r="D190" t="s">
        <v>412</v>
      </c>
      <c r="F190">
        <v>87</v>
      </c>
      <c r="G190" t="str">
        <f t="shared" si="6"/>
        <v>Brescia</v>
      </c>
      <c r="H190" t="str">
        <f t="shared" si="7"/>
        <v>new Models.State() {Name = "Brescia", Code =  "BS", Id =189, CountryId = 87, LocalName = "Brescia", Type = "Province" },</v>
      </c>
    </row>
    <row r="191" spans="1:8" x14ac:dyDescent="0.25">
      <c r="A191">
        <f t="shared" si="8"/>
        <v>190</v>
      </c>
      <c r="B191" t="s">
        <v>761</v>
      </c>
      <c r="C191" t="s">
        <v>49</v>
      </c>
      <c r="D191" t="s">
        <v>412</v>
      </c>
      <c r="F191">
        <v>87</v>
      </c>
      <c r="G191" t="str">
        <f t="shared" si="6"/>
        <v>Brindisi</v>
      </c>
      <c r="H191" t="str">
        <f t="shared" si="7"/>
        <v>new Models.State() {Name = "Brindisi", Code =  "BR", Id =190, CountryId = 87, LocalName = "Brindisi", Type = "Province" },</v>
      </c>
    </row>
    <row r="192" spans="1:8" x14ac:dyDescent="0.25">
      <c r="A192">
        <f t="shared" si="8"/>
        <v>191</v>
      </c>
      <c r="B192" t="s">
        <v>762</v>
      </c>
      <c r="C192" t="s">
        <v>65</v>
      </c>
      <c r="D192" t="s">
        <v>412</v>
      </c>
      <c r="F192">
        <v>87</v>
      </c>
      <c r="G192" t="str">
        <f t="shared" si="6"/>
        <v>Cagliari</v>
      </c>
      <c r="H192" t="str">
        <f t="shared" si="7"/>
        <v>new Models.State() {Name = "Cagliari", Code =  "CA", Id =191, CountryId = 87, LocalName = "Cagliari", Type = "Province" },</v>
      </c>
    </row>
    <row r="193" spans="1:8" x14ac:dyDescent="0.25">
      <c r="A193">
        <f t="shared" si="8"/>
        <v>192</v>
      </c>
      <c r="B193" t="s">
        <v>763</v>
      </c>
      <c r="C193" t="s">
        <v>73</v>
      </c>
      <c r="D193" t="s">
        <v>412</v>
      </c>
      <c r="F193">
        <v>87</v>
      </c>
      <c r="G193" t="str">
        <f t="shared" si="6"/>
        <v>Caltanissetta</v>
      </c>
      <c r="H193" t="str">
        <f t="shared" si="7"/>
        <v>new Models.State() {Name = "Caltanissetta", Code =  "CL", Id =192, CountryId = 87, LocalName = "Caltanissetta", Type = "Province" },</v>
      </c>
    </row>
    <row r="194" spans="1:8" x14ac:dyDescent="0.25">
      <c r="A194">
        <f t="shared" si="8"/>
        <v>193</v>
      </c>
      <c r="B194" t="s">
        <v>764</v>
      </c>
      <c r="C194" t="s">
        <v>765</v>
      </c>
      <c r="D194" t="s">
        <v>412</v>
      </c>
      <c r="F194">
        <v>87</v>
      </c>
      <c r="G194" t="str">
        <f t="shared" si="6"/>
        <v>Campobasso</v>
      </c>
      <c r="H194" t="str">
        <f t="shared" si="7"/>
        <v>new Models.State() {Name = "Campobasso", Code =  "CB", Id =193, CountryId = 87, LocalName = "Campobasso", Type = "Province" },</v>
      </c>
    </row>
    <row r="195" spans="1:8" x14ac:dyDescent="0.25">
      <c r="A195">
        <f t="shared" si="8"/>
        <v>194</v>
      </c>
      <c r="B195" t="s">
        <v>766</v>
      </c>
      <c r="C195" t="s">
        <v>89</v>
      </c>
      <c r="D195" t="s">
        <v>412</v>
      </c>
      <c r="F195">
        <v>87</v>
      </c>
      <c r="G195" t="str">
        <f t="shared" ref="G195:G258" si="9">IF(E195="",B195,E195)</f>
        <v>Carbonia-Iglesias</v>
      </c>
      <c r="H195" t="str">
        <f t="shared" ref="H195:H258" si="10">"new Models.State() {Name = """&amp;B195&amp;""", Code =  """&amp;C195&amp;""", Id ="&amp;A195&amp;", CountryId = "&amp;F195&amp;", LocalName = """&amp;G195&amp;""", Type = """&amp;D195&amp;""" },"</f>
        <v>new Models.State() {Name = "Carbonia-Iglesias", Code =  "CI", Id =194, CountryId = 87, LocalName = "Carbonia-Iglesias", Type = "Province" },</v>
      </c>
    </row>
    <row r="196" spans="1:8" x14ac:dyDescent="0.25">
      <c r="A196">
        <f t="shared" ref="A196:A259" si="11">1+A195</f>
        <v>195</v>
      </c>
      <c r="B196" t="s">
        <v>767</v>
      </c>
      <c r="C196" t="s">
        <v>469</v>
      </c>
      <c r="D196" t="s">
        <v>412</v>
      </c>
      <c r="F196">
        <v>87</v>
      </c>
      <c r="G196" t="str">
        <f t="shared" si="9"/>
        <v>Caserta</v>
      </c>
      <c r="H196" t="str">
        <f t="shared" si="10"/>
        <v>new Models.State() {Name = "Caserta", Code =  "CE", Id =195, CountryId = 87, LocalName = "Caserta", Type = "Province" },</v>
      </c>
    </row>
    <row r="197" spans="1:8" x14ac:dyDescent="0.25">
      <c r="A197">
        <f t="shared" si="11"/>
        <v>196</v>
      </c>
      <c r="B197" t="s">
        <v>768</v>
      </c>
      <c r="C197" t="s">
        <v>769</v>
      </c>
      <c r="D197" t="s">
        <v>412</v>
      </c>
      <c r="F197">
        <v>87</v>
      </c>
      <c r="G197" t="str">
        <f t="shared" si="9"/>
        <v>Catania</v>
      </c>
      <c r="H197" t="str">
        <f t="shared" si="10"/>
        <v>new Models.State() {Name = "Catania", Code =  "CT", Id =196, CountryId = 87, LocalName = "Catania", Type = "Province" },</v>
      </c>
    </row>
    <row r="198" spans="1:8" x14ac:dyDescent="0.25">
      <c r="A198">
        <f t="shared" si="11"/>
        <v>197</v>
      </c>
      <c r="B198" t="s">
        <v>770</v>
      </c>
      <c r="C198" t="s">
        <v>95</v>
      </c>
      <c r="D198" t="s">
        <v>412</v>
      </c>
      <c r="F198">
        <v>87</v>
      </c>
      <c r="G198" t="str">
        <f t="shared" si="9"/>
        <v>Catanzaro</v>
      </c>
      <c r="H198" t="str">
        <f t="shared" si="10"/>
        <v>new Models.State() {Name = "Catanzaro", Code =  "CZ", Id =197, CountryId = 87, LocalName = "Catanzaro", Type = "Province" },</v>
      </c>
    </row>
    <row r="199" spans="1:8" x14ac:dyDescent="0.25">
      <c r="A199">
        <f t="shared" si="11"/>
        <v>198</v>
      </c>
      <c r="B199" t="s">
        <v>771</v>
      </c>
      <c r="C199" t="s">
        <v>351</v>
      </c>
      <c r="D199" t="s">
        <v>412</v>
      </c>
      <c r="F199">
        <v>87</v>
      </c>
      <c r="G199" t="str">
        <f t="shared" si="9"/>
        <v>Chieti</v>
      </c>
      <c r="H199" t="str">
        <f t="shared" si="10"/>
        <v>new Models.State() {Name = "Chieti", Code =  "CH", Id =198, CountryId = 87, LocalName = "Chieti", Type = "Province" },</v>
      </c>
    </row>
    <row r="200" spans="1:8" x14ac:dyDescent="0.25">
      <c r="A200">
        <f t="shared" si="11"/>
        <v>199</v>
      </c>
      <c r="B200" t="s">
        <v>772</v>
      </c>
      <c r="C200" t="s">
        <v>77</v>
      </c>
      <c r="D200" t="s">
        <v>412</v>
      </c>
      <c r="F200">
        <v>87</v>
      </c>
      <c r="G200" t="str">
        <f t="shared" si="9"/>
        <v>Como</v>
      </c>
      <c r="H200" t="str">
        <f t="shared" si="10"/>
        <v>new Models.State() {Name = "Como", Code =  "CO", Id =199, CountryId = 87, LocalName = "Como", Type = "Province" },</v>
      </c>
    </row>
    <row r="201" spans="1:8" x14ac:dyDescent="0.25">
      <c r="A201">
        <f t="shared" si="11"/>
        <v>200</v>
      </c>
      <c r="B201" t="s">
        <v>773</v>
      </c>
      <c r="C201" t="s">
        <v>774</v>
      </c>
      <c r="D201" t="s">
        <v>412</v>
      </c>
      <c r="F201">
        <v>87</v>
      </c>
      <c r="G201" t="str">
        <f t="shared" si="9"/>
        <v>Cosenza</v>
      </c>
      <c r="H201" t="str">
        <f t="shared" si="10"/>
        <v>new Models.State() {Name = "Cosenza", Code =  "CS", Id =200, CountryId = 87, LocalName = "Cosenza", Type = "Province" },</v>
      </c>
    </row>
    <row r="202" spans="1:8" x14ac:dyDescent="0.25">
      <c r="A202">
        <f t="shared" si="11"/>
        <v>201</v>
      </c>
      <c r="B202" t="s">
        <v>775</v>
      </c>
      <c r="C202" t="s">
        <v>87</v>
      </c>
      <c r="D202" t="s">
        <v>412</v>
      </c>
      <c r="F202">
        <v>87</v>
      </c>
      <c r="G202" t="str">
        <f t="shared" si="9"/>
        <v>Cremona</v>
      </c>
      <c r="H202" t="str">
        <f t="shared" si="10"/>
        <v>new Models.State() {Name = "Cremona", Code =  "CR", Id =201, CountryId = 87, LocalName = "Cremona", Type = "Province" },</v>
      </c>
    </row>
    <row r="203" spans="1:8" x14ac:dyDescent="0.25">
      <c r="A203">
        <f t="shared" si="11"/>
        <v>202</v>
      </c>
      <c r="B203" t="s">
        <v>776</v>
      </c>
      <c r="C203" t="s">
        <v>327</v>
      </c>
      <c r="D203" t="s">
        <v>412</v>
      </c>
      <c r="F203">
        <v>87</v>
      </c>
      <c r="G203" t="str">
        <f t="shared" si="9"/>
        <v>Crotone</v>
      </c>
      <c r="H203" t="str">
        <f t="shared" si="10"/>
        <v>new Models.State() {Name = "Crotone", Code =  "KR", Id =202, CountryId = 87, LocalName = "Crotone", Type = "Province" },</v>
      </c>
    </row>
    <row r="204" spans="1:8" x14ac:dyDescent="0.25">
      <c r="A204">
        <f t="shared" si="11"/>
        <v>203</v>
      </c>
      <c r="B204" t="s">
        <v>777</v>
      </c>
      <c r="C204" t="s">
        <v>778</v>
      </c>
      <c r="D204" t="s">
        <v>412</v>
      </c>
      <c r="F204">
        <v>87</v>
      </c>
      <c r="G204" t="str">
        <f t="shared" si="9"/>
        <v>Cuneo</v>
      </c>
      <c r="H204" t="str">
        <f t="shared" si="10"/>
        <v>new Models.State() {Name = "Cuneo", Code =  "CN", Id =203, CountryId = 87, LocalName = "Cuneo", Type = "Province" },</v>
      </c>
    </row>
    <row r="205" spans="1:8" x14ac:dyDescent="0.25">
      <c r="A205">
        <f t="shared" si="11"/>
        <v>204</v>
      </c>
      <c r="B205" t="s">
        <v>779</v>
      </c>
      <c r="C205" t="s">
        <v>780</v>
      </c>
      <c r="D205" t="s">
        <v>412</v>
      </c>
      <c r="F205">
        <v>87</v>
      </c>
      <c r="G205" t="str">
        <f t="shared" si="9"/>
        <v>Enna</v>
      </c>
      <c r="H205" t="str">
        <f t="shared" si="10"/>
        <v>new Models.State() {Name = "Enna", Code =  "EN", Id =204, CountryId = 87, LocalName = "Enna", Type = "Province" },</v>
      </c>
    </row>
    <row r="206" spans="1:8" x14ac:dyDescent="0.25">
      <c r="A206">
        <f t="shared" si="11"/>
        <v>205</v>
      </c>
      <c r="B206" t="s">
        <v>781</v>
      </c>
      <c r="C206" t="s">
        <v>229</v>
      </c>
      <c r="D206" t="s">
        <v>412</v>
      </c>
      <c r="F206">
        <v>87</v>
      </c>
      <c r="G206" t="str">
        <f t="shared" si="9"/>
        <v>Fermo</v>
      </c>
      <c r="H206" t="str">
        <f t="shared" si="10"/>
        <v>new Models.State() {Name = "Fermo", Code =  "FM", Id =205, CountryId = 87, LocalName = "Fermo", Type = "Province" },</v>
      </c>
    </row>
    <row r="207" spans="1:8" x14ac:dyDescent="0.25">
      <c r="A207">
        <f t="shared" si="11"/>
        <v>206</v>
      </c>
      <c r="B207" t="s">
        <v>782</v>
      </c>
      <c r="C207" t="s">
        <v>783</v>
      </c>
      <c r="D207" t="s">
        <v>412</v>
      </c>
      <c r="F207">
        <v>87</v>
      </c>
      <c r="G207" t="str">
        <f t="shared" si="9"/>
        <v>Ferrara</v>
      </c>
      <c r="H207" t="str">
        <f t="shared" si="10"/>
        <v>new Models.State() {Name = "Ferrara", Code =  "FE", Id =206, CountryId = 87, LocalName = "Ferrara", Type = "Province" },</v>
      </c>
    </row>
    <row r="208" spans="1:8" x14ac:dyDescent="0.25">
      <c r="A208">
        <f t="shared" si="11"/>
        <v>207</v>
      </c>
      <c r="B208" t="s">
        <v>784</v>
      </c>
      <c r="C208" t="s">
        <v>123</v>
      </c>
      <c r="D208" t="s">
        <v>412</v>
      </c>
      <c r="F208">
        <v>87</v>
      </c>
      <c r="G208" t="str">
        <f t="shared" si="9"/>
        <v>Firenze</v>
      </c>
      <c r="H208" t="str">
        <f t="shared" si="10"/>
        <v>new Models.State() {Name = "Firenze", Code =  "FI", Id =207, CountryId = 87, LocalName = "Firenze", Type = "Province" },</v>
      </c>
    </row>
    <row r="209" spans="1:8" x14ac:dyDescent="0.25">
      <c r="A209">
        <f t="shared" si="11"/>
        <v>208</v>
      </c>
      <c r="B209" t="s">
        <v>785</v>
      </c>
      <c r="C209" t="s">
        <v>786</v>
      </c>
      <c r="D209" t="s">
        <v>412</v>
      </c>
      <c r="F209">
        <v>87</v>
      </c>
      <c r="G209" t="str">
        <f t="shared" si="9"/>
        <v>Foggia</v>
      </c>
      <c r="H209" t="str">
        <f t="shared" si="10"/>
        <v>new Models.State() {Name = "Foggia", Code =  "FG", Id =208, CountryId = 87, LocalName = "Foggia", Type = "Province" },</v>
      </c>
    </row>
    <row r="210" spans="1:8" x14ac:dyDescent="0.25">
      <c r="A210">
        <f t="shared" si="11"/>
        <v>209</v>
      </c>
      <c r="B210" t="s">
        <v>787</v>
      </c>
      <c r="C210" t="s">
        <v>788</v>
      </c>
      <c r="D210" t="s">
        <v>412</v>
      </c>
      <c r="F210">
        <v>87</v>
      </c>
      <c r="G210" t="str">
        <f t="shared" si="9"/>
        <v>Forlì-Cesena</v>
      </c>
      <c r="H210" t="str">
        <f t="shared" si="10"/>
        <v>new Models.State() {Name = "Forlì-Cesena", Code =  "FC", Id =209, CountryId = 87, LocalName = "Forlì-Cesena", Type = "Province" },</v>
      </c>
    </row>
    <row r="211" spans="1:8" x14ac:dyDescent="0.25">
      <c r="A211">
        <f t="shared" si="11"/>
        <v>210</v>
      </c>
      <c r="B211" t="s">
        <v>789</v>
      </c>
      <c r="C211" t="s">
        <v>125</v>
      </c>
      <c r="D211" t="s">
        <v>412</v>
      </c>
      <c r="F211">
        <v>87</v>
      </c>
      <c r="G211" t="str">
        <f t="shared" si="9"/>
        <v>Frosinone</v>
      </c>
      <c r="H211" t="str">
        <f t="shared" si="10"/>
        <v>new Models.State() {Name = "Frosinone", Code =  "FR", Id =210, CountryId = 87, LocalName = "Frosinone", Type = "Province" },</v>
      </c>
    </row>
    <row r="212" spans="1:8" x14ac:dyDescent="0.25">
      <c r="A212">
        <f t="shared" si="11"/>
        <v>211</v>
      </c>
      <c r="B212" t="s">
        <v>790</v>
      </c>
      <c r="C212" t="s">
        <v>135</v>
      </c>
      <c r="D212" t="s">
        <v>412</v>
      </c>
      <c r="F212">
        <v>87</v>
      </c>
      <c r="G212" t="str">
        <f t="shared" si="9"/>
        <v>Genova</v>
      </c>
      <c r="H212" t="str">
        <f t="shared" si="10"/>
        <v>new Models.State() {Name = "Genova", Code =  "GE", Id =211, CountryId = 87, LocalName = "Genova", Type = "Province" },</v>
      </c>
    </row>
    <row r="213" spans="1:8" x14ac:dyDescent="0.25">
      <c r="A213">
        <f t="shared" si="11"/>
        <v>212</v>
      </c>
      <c r="B213" t="s">
        <v>791</v>
      </c>
      <c r="C213" t="s">
        <v>474</v>
      </c>
      <c r="D213" t="s">
        <v>412</v>
      </c>
      <c r="F213">
        <v>87</v>
      </c>
      <c r="G213" t="str">
        <f t="shared" si="9"/>
        <v>Gorizia</v>
      </c>
      <c r="H213" t="str">
        <f t="shared" si="10"/>
        <v>new Models.State() {Name = "Gorizia", Code =  "GO", Id =212, CountryId = 87, LocalName = "Gorizia", Type = "Province" },</v>
      </c>
    </row>
    <row r="214" spans="1:8" x14ac:dyDescent="0.25">
      <c r="A214">
        <f t="shared" si="11"/>
        <v>213</v>
      </c>
      <c r="B214" t="s">
        <v>792</v>
      </c>
      <c r="C214" t="s">
        <v>141</v>
      </c>
      <c r="D214" t="s">
        <v>412</v>
      </c>
      <c r="F214">
        <v>87</v>
      </c>
      <c r="G214" t="str">
        <f t="shared" si="9"/>
        <v>Grosseto</v>
      </c>
      <c r="H214" t="str">
        <f t="shared" si="10"/>
        <v>new Models.State() {Name = "Grosseto", Code =  "GR", Id =213, CountryId = 87, LocalName = "Grosseto", Type = "Province" },</v>
      </c>
    </row>
    <row r="215" spans="1:8" x14ac:dyDescent="0.25">
      <c r="A215">
        <f t="shared" si="11"/>
        <v>214</v>
      </c>
      <c r="B215" t="s">
        <v>793</v>
      </c>
      <c r="C215" t="s">
        <v>794</v>
      </c>
      <c r="D215" t="s">
        <v>412</v>
      </c>
      <c r="F215">
        <v>87</v>
      </c>
      <c r="G215" t="str">
        <f t="shared" si="9"/>
        <v>Imperia</v>
      </c>
      <c r="H215" t="str">
        <f t="shared" si="10"/>
        <v>new Models.State() {Name = "Imperia", Code =  "IM", Id =214, CountryId = 87, LocalName = "Imperia", Type = "Province" },</v>
      </c>
    </row>
    <row r="216" spans="1:8" x14ac:dyDescent="0.25">
      <c r="A216">
        <f t="shared" si="11"/>
        <v>215</v>
      </c>
      <c r="B216" t="s">
        <v>795</v>
      </c>
      <c r="C216" t="s">
        <v>163</v>
      </c>
      <c r="D216" t="s">
        <v>412</v>
      </c>
      <c r="F216">
        <v>87</v>
      </c>
      <c r="G216" t="str">
        <f t="shared" si="9"/>
        <v>Isernia</v>
      </c>
      <c r="H216" t="str">
        <f t="shared" si="10"/>
        <v>new Models.State() {Name = "Isernia", Code =  "IS", Id =215, CountryId = 87, LocalName = "Isernia", Type = "Province" },</v>
      </c>
    </row>
    <row r="217" spans="1:8" x14ac:dyDescent="0.25">
      <c r="A217">
        <f t="shared" si="11"/>
        <v>216</v>
      </c>
      <c r="B217" t="s">
        <v>796</v>
      </c>
      <c r="C217" t="s">
        <v>797</v>
      </c>
      <c r="D217" t="s">
        <v>412</v>
      </c>
      <c r="F217">
        <v>87</v>
      </c>
      <c r="G217" t="str">
        <f t="shared" si="9"/>
        <v>L'Aquila</v>
      </c>
      <c r="H217" t="str">
        <f t="shared" si="10"/>
        <v>new Models.State() {Name = "L'Aquila", Code =  "AQ", Id =216, CountryId = 87, LocalName = "L'Aquila", Type = "Province" },</v>
      </c>
    </row>
    <row r="218" spans="1:8" x14ac:dyDescent="0.25">
      <c r="A218">
        <f t="shared" si="11"/>
        <v>217</v>
      </c>
      <c r="B218" t="s">
        <v>798</v>
      </c>
      <c r="C218" t="s">
        <v>498</v>
      </c>
      <c r="D218" t="s">
        <v>412</v>
      </c>
      <c r="F218">
        <v>87</v>
      </c>
      <c r="G218" t="str">
        <f t="shared" si="9"/>
        <v>La Spezia</v>
      </c>
      <c r="H218" t="str">
        <f t="shared" si="10"/>
        <v>new Models.State() {Name = "La Spezia", Code =  "SP", Id =217, CountryId = 87, LocalName = "La Spezia", Type = "Province" },</v>
      </c>
    </row>
    <row r="219" spans="1:8" x14ac:dyDescent="0.25">
      <c r="A219">
        <f t="shared" si="11"/>
        <v>218</v>
      </c>
      <c r="B219" t="s">
        <v>799</v>
      </c>
      <c r="C219" t="s">
        <v>199</v>
      </c>
      <c r="D219" t="s">
        <v>412</v>
      </c>
      <c r="F219">
        <v>87</v>
      </c>
      <c r="G219" t="str">
        <f t="shared" si="9"/>
        <v>Latina</v>
      </c>
      <c r="H219" t="str">
        <f t="shared" si="10"/>
        <v>new Models.State() {Name = "Latina", Code =  "LT", Id =218, CountryId = 87, LocalName = "Latina", Type = "Province" },</v>
      </c>
    </row>
    <row r="220" spans="1:8" x14ac:dyDescent="0.25">
      <c r="A220">
        <f t="shared" si="11"/>
        <v>219</v>
      </c>
      <c r="B220" t="s">
        <v>800</v>
      </c>
      <c r="C220" t="s">
        <v>801</v>
      </c>
      <c r="D220" t="s">
        <v>412</v>
      </c>
      <c r="F220">
        <v>87</v>
      </c>
      <c r="G220" t="str">
        <f t="shared" si="9"/>
        <v>Lecce</v>
      </c>
      <c r="H220" t="str">
        <f t="shared" si="10"/>
        <v>new Models.State() {Name = "Lecce", Code =  "LE", Id =219, CountryId = 87, LocalName = "Lecce", Type = "Province" },</v>
      </c>
    </row>
    <row r="221" spans="1:8" x14ac:dyDescent="0.25">
      <c r="A221">
        <f t="shared" si="11"/>
        <v>220</v>
      </c>
      <c r="B221" t="s">
        <v>802</v>
      </c>
      <c r="C221" t="s">
        <v>337</v>
      </c>
      <c r="D221" t="s">
        <v>412</v>
      </c>
      <c r="F221">
        <v>87</v>
      </c>
      <c r="G221" t="str">
        <f t="shared" si="9"/>
        <v>Lecco</v>
      </c>
      <c r="H221" t="str">
        <f t="shared" si="10"/>
        <v>new Models.State() {Name = "Lecco", Code =  "LC", Id =220, CountryId = 87, LocalName = "Lecco", Type = "Province" },</v>
      </c>
    </row>
    <row r="222" spans="1:8" x14ac:dyDescent="0.25">
      <c r="A222">
        <f t="shared" si="11"/>
        <v>221</v>
      </c>
      <c r="B222" t="s">
        <v>803</v>
      </c>
      <c r="C222" t="s">
        <v>197</v>
      </c>
      <c r="D222" t="s">
        <v>412</v>
      </c>
      <c r="F222">
        <v>87</v>
      </c>
      <c r="G222" t="str">
        <f t="shared" si="9"/>
        <v>Livorno</v>
      </c>
      <c r="H222" t="str">
        <f t="shared" si="10"/>
        <v>new Models.State() {Name = "Livorno", Code =  "LI", Id =221, CountryId = 87, LocalName = "Livorno", Type = "Province" },</v>
      </c>
    </row>
    <row r="223" spans="1:8" x14ac:dyDescent="0.25">
      <c r="A223">
        <f t="shared" si="11"/>
        <v>222</v>
      </c>
      <c r="B223" t="s">
        <v>804</v>
      </c>
      <c r="C223" t="s">
        <v>805</v>
      </c>
      <c r="D223" t="s">
        <v>412</v>
      </c>
      <c r="F223">
        <v>87</v>
      </c>
      <c r="G223" t="str">
        <f t="shared" si="9"/>
        <v>Lodi</v>
      </c>
      <c r="H223" t="str">
        <f t="shared" si="10"/>
        <v>new Models.State() {Name = "Lodi", Code =  "LO", Id =222, CountryId = 87, LocalName = "Lodi", Type = "Province" },</v>
      </c>
    </row>
    <row r="224" spans="1:8" x14ac:dyDescent="0.25">
      <c r="A224">
        <f t="shared" si="11"/>
        <v>223</v>
      </c>
      <c r="B224" t="s">
        <v>806</v>
      </c>
      <c r="C224" t="s">
        <v>201</v>
      </c>
      <c r="D224" t="s">
        <v>412</v>
      </c>
      <c r="F224">
        <v>87</v>
      </c>
      <c r="G224" t="str">
        <f t="shared" si="9"/>
        <v>Lucca</v>
      </c>
      <c r="H224" t="str">
        <f t="shared" si="10"/>
        <v>new Models.State() {Name = "Lucca", Code =  "LU", Id =223, CountryId = 87, LocalName = "Lucca", Type = "Province" },</v>
      </c>
    </row>
    <row r="225" spans="1:8" x14ac:dyDescent="0.25">
      <c r="A225">
        <f t="shared" si="11"/>
        <v>224</v>
      </c>
      <c r="B225" t="s">
        <v>807</v>
      </c>
      <c r="C225" t="s">
        <v>233</v>
      </c>
      <c r="D225" t="s">
        <v>412</v>
      </c>
      <c r="F225">
        <v>87</v>
      </c>
      <c r="G225" t="str">
        <f t="shared" si="9"/>
        <v>Macerata</v>
      </c>
      <c r="H225" t="str">
        <f t="shared" si="10"/>
        <v>new Models.State() {Name = "Macerata", Code =  "MC", Id =224, CountryId = 87, LocalName = "Macerata", Type = "Province" },</v>
      </c>
    </row>
    <row r="226" spans="1:8" x14ac:dyDescent="0.25">
      <c r="A226">
        <f t="shared" si="11"/>
        <v>225</v>
      </c>
      <c r="B226" t="s">
        <v>808</v>
      </c>
      <c r="C226" t="s">
        <v>235</v>
      </c>
      <c r="D226" t="s">
        <v>412</v>
      </c>
      <c r="F226">
        <v>87</v>
      </c>
      <c r="G226" t="str">
        <f t="shared" si="9"/>
        <v>Mantova</v>
      </c>
      <c r="H226" t="str">
        <f t="shared" si="10"/>
        <v>new Models.State() {Name = "Mantova", Code =  "MN", Id =225, CountryId = 87, LocalName = "Mantova", Type = "Province" },</v>
      </c>
    </row>
    <row r="227" spans="1:8" x14ac:dyDescent="0.25">
      <c r="A227">
        <f t="shared" si="11"/>
        <v>226</v>
      </c>
      <c r="B227" t="s">
        <v>809</v>
      </c>
      <c r="C227" t="s">
        <v>239</v>
      </c>
      <c r="D227" t="s">
        <v>412</v>
      </c>
      <c r="F227">
        <v>87</v>
      </c>
      <c r="G227" t="str">
        <f t="shared" si="9"/>
        <v>Massa-Carrara</v>
      </c>
      <c r="H227" t="str">
        <f t="shared" si="10"/>
        <v>new Models.State() {Name = "Massa-Carrara", Code =  "MS", Id =226, CountryId = 87, LocalName = "Massa-Carrara", Type = "Province" },</v>
      </c>
    </row>
    <row r="228" spans="1:8" x14ac:dyDescent="0.25">
      <c r="A228">
        <f t="shared" si="11"/>
        <v>227</v>
      </c>
      <c r="B228" t="s">
        <v>810</v>
      </c>
      <c r="C228" t="s">
        <v>215</v>
      </c>
      <c r="D228" t="s">
        <v>412</v>
      </c>
      <c r="F228">
        <v>87</v>
      </c>
      <c r="G228" t="str">
        <f t="shared" si="9"/>
        <v>Matera</v>
      </c>
      <c r="H228" t="str">
        <f t="shared" si="10"/>
        <v>new Models.State() {Name = "Matera", Code =  "MT", Id =227, CountryId = 87, LocalName = "Matera", Type = "Province" },</v>
      </c>
    </row>
    <row r="229" spans="1:8" x14ac:dyDescent="0.25">
      <c r="A229">
        <f t="shared" si="11"/>
        <v>228</v>
      </c>
      <c r="B229" t="s">
        <v>811</v>
      </c>
      <c r="C229" t="s">
        <v>812</v>
      </c>
      <c r="D229" t="s">
        <v>412</v>
      </c>
      <c r="F229">
        <v>87</v>
      </c>
      <c r="G229" t="str">
        <f t="shared" si="9"/>
        <v>Medio Campidano</v>
      </c>
      <c r="H229" t="str">
        <f t="shared" si="10"/>
        <v>new Models.State() {Name = "Medio Campidano", Code =  "VS", Id =228, CountryId = 87, LocalName = "Medio Campidano", Type = "Province" },</v>
      </c>
    </row>
    <row r="230" spans="1:8" x14ac:dyDescent="0.25">
      <c r="A230">
        <f t="shared" si="11"/>
        <v>229</v>
      </c>
      <c r="B230" t="s">
        <v>813</v>
      </c>
      <c r="C230" t="s">
        <v>237</v>
      </c>
      <c r="D230" t="s">
        <v>412</v>
      </c>
      <c r="F230">
        <v>87</v>
      </c>
      <c r="G230" t="str">
        <f t="shared" si="9"/>
        <v>Messina</v>
      </c>
      <c r="H230" t="str">
        <f t="shared" si="10"/>
        <v>new Models.State() {Name = "Messina", Code =  "ME", Id =229, CountryId = 87, LocalName = "Messina", Type = "Province" },</v>
      </c>
    </row>
    <row r="231" spans="1:8" x14ac:dyDescent="0.25">
      <c r="A231">
        <f t="shared" si="11"/>
        <v>230</v>
      </c>
      <c r="B231" t="s">
        <v>814</v>
      </c>
      <c r="C231" t="s">
        <v>815</v>
      </c>
      <c r="D231" t="s">
        <v>412</v>
      </c>
      <c r="F231">
        <v>87</v>
      </c>
      <c r="G231" t="str">
        <f t="shared" si="9"/>
        <v>Milano</v>
      </c>
      <c r="H231" t="str">
        <f t="shared" si="10"/>
        <v>new Models.State() {Name = "Milano", Code =  "MI", Id =230, CountryId = 87, LocalName = "Milano", Type = "Province" },</v>
      </c>
    </row>
    <row r="232" spans="1:8" x14ac:dyDescent="0.25">
      <c r="A232">
        <f t="shared" si="11"/>
        <v>231</v>
      </c>
      <c r="B232" t="s">
        <v>816</v>
      </c>
      <c r="C232" t="s">
        <v>817</v>
      </c>
      <c r="D232" t="s">
        <v>412</v>
      </c>
      <c r="F232">
        <v>87</v>
      </c>
      <c r="G232" t="str">
        <f t="shared" si="9"/>
        <v>Modena</v>
      </c>
      <c r="H232" t="str">
        <f t="shared" si="10"/>
        <v>new Models.State() {Name = "Modena", Code =  "MO", Id =231, CountryId = 87, LocalName = "Modena", Type = "Province" },</v>
      </c>
    </row>
    <row r="233" spans="1:8" x14ac:dyDescent="0.25">
      <c r="A233">
        <f t="shared" si="11"/>
        <v>232</v>
      </c>
      <c r="B233" t="s">
        <v>818</v>
      </c>
      <c r="C233" t="s">
        <v>506</v>
      </c>
      <c r="D233" t="s">
        <v>412</v>
      </c>
      <c r="F233">
        <v>87</v>
      </c>
      <c r="G233" t="str">
        <f t="shared" si="9"/>
        <v>Monza e della Brianza</v>
      </c>
      <c r="H233" t="str">
        <f t="shared" si="10"/>
        <v>new Models.State() {Name = "Monza e della Brianza", Code =  "MB", Id =232, CountryId = 87, LocalName = "Monza e della Brianza", Type = "Province" },</v>
      </c>
    </row>
    <row r="234" spans="1:8" x14ac:dyDescent="0.25">
      <c r="A234">
        <f t="shared" si="11"/>
        <v>233</v>
      </c>
      <c r="B234" t="s">
        <v>819</v>
      </c>
      <c r="C234" t="s">
        <v>245</v>
      </c>
      <c r="D234" t="s">
        <v>412</v>
      </c>
      <c r="F234">
        <v>87</v>
      </c>
      <c r="G234" t="str">
        <f t="shared" si="9"/>
        <v>Napoli</v>
      </c>
      <c r="H234" t="str">
        <f t="shared" si="10"/>
        <v>new Models.State() {Name = "Napoli", Code =  "NA", Id =233, CountryId = 87, LocalName = "Napoli", Type = "Province" },</v>
      </c>
    </row>
    <row r="235" spans="1:8" x14ac:dyDescent="0.25">
      <c r="A235">
        <f t="shared" si="11"/>
        <v>234</v>
      </c>
      <c r="B235" t="s">
        <v>820</v>
      </c>
      <c r="C235" t="s">
        <v>267</v>
      </c>
      <c r="D235" t="s">
        <v>412</v>
      </c>
      <c r="F235">
        <v>87</v>
      </c>
      <c r="G235" t="str">
        <f t="shared" si="9"/>
        <v>Novara</v>
      </c>
      <c r="H235" t="str">
        <f t="shared" si="10"/>
        <v>new Models.State() {Name = "Novara", Code =  "NO", Id =234, CountryId = 87, LocalName = "Novara", Type = "Province" },</v>
      </c>
    </row>
    <row r="236" spans="1:8" x14ac:dyDescent="0.25">
      <c r="A236">
        <f t="shared" si="11"/>
        <v>235</v>
      </c>
      <c r="B236" t="s">
        <v>821</v>
      </c>
      <c r="C236" t="s">
        <v>263</v>
      </c>
      <c r="D236" t="s">
        <v>412</v>
      </c>
      <c r="F236">
        <v>87</v>
      </c>
      <c r="G236" t="str">
        <f t="shared" si="9"/>
        <v>Nuoro</v>
      </c>
      <c r="H236" t="str">
        <f t="shared" si="10"/>
        <v>new Models.State() {Name = "Nuoro", Code =  "NU", Id =235, CountryId = 87, LocalName = "Nuoro", Type = "Province" },</v>
      </c>
    </row>
    <row r="237" spans="1:8" x14ac:dyDescent="0.25">
      <c r="A237">
        <f t="shared" si="11"/>
        <v>236</v>
      </c>
      <c r="B237" t="s">
        <v>822</v>
      </c>
      <c r="C237" t="s">
        <v>823</v>
      </c>
      <c r="D237" t="s">
        <v>412</v>
      </c>
      <c r="F237">
        <v>87</v>
      </c>
      <c r="G237" t="str">
        <f t="shared" si="9"/>
        <v>Ogliastra</v>
      </c>
      <c r="H237" t="str">
        <f t="shared" si="10"/>
        <v>new Models.State() {Name = "Ogliastra", Code =  "OG", Id =236, CountryId = 87, LocalName = "Ogliastra", Type = "Province" },</v>
      </c>
    </row>
    <row r="238" spans="1:8" x14ac:dyDescent="0.25">
      <c r="A238">
        <f t="shared" si="11"/>
        <v>237</v>
      </c>
      <c r="B238" t="s">
        <v>824</v>
      </c>
      <c r="C238" t="s">
        <v>825</v>
      </c>
      <c r="D238" t="s">
        <v>412</v>
      </c>
      <c r="F238">
        <v>87</v>
      </c>
      <c r="G238" t="str">
        <f t="shared" si="9"/>
        <v>Olbia-Tempio</v>
      </c>
      <c r="H238" t="str">
        <f t="shared" si="10"/>
        <v>new Models.State() {Name = "Olbia-Tempio", Code =  "OT", Id =237, CountryId = 87, LocalName = "Olbia-Tempio", Type = "Province" },</v>
      </c>
    </row>
    <row r="239" spans="1:8" x14ac:dyDescent="0.25">
      <c r="A239">
        <f t="shared" si="11"/>
        <v>238</v>
      </c>
      <c r="B239" t="s">
        <v>826</v>
      </c>
      <c r="C239" t="s">
        <v>827</v>
      </c>
      <c r="D239" t="s">
        <v>412</v>
      </c>
      <c r="F239">
        <v>87</v>
      </c>
      <c r="G239" t="str">
        <f t="shared" si="9"/>
        <v>Oristano</v>
      </c>
      <c r="H239" t="str">
        <f t="shared" si="10"/>
        <v>new Models.State() {Name = "Oristano", Code =  "OR", Id =238, CountryId = 87, LocalName = "Oristano", Type = "Province" },</v>
      </c>
    </row>
    <row r="240" spans="1:8" x14ac:dyDescent="0.25">
      <c r="A240">
        <f t="shared" si="11"/>
        <v>239</v>
      </c>
      <c r="B240" t="s">
        <v>828</v>
      </c>
      <c r="C240" t="s">
        <v>829</v>
      </c>
      <c r="D240" t="s">
        <v>412</v>
      </c>
      <c r="F240">
        <v>87</v>
      </c>
      <c r="G240" t="str">
        <f t="shared" si="9"/>
        <v>Padova</v>
      </c>
      <c r="H240" t="str">
        <f t="shared" si="10"/>
        <v>new Models.State() {Name = "Padova", Code =  "PD", Id =239, CountryId = 87, LocalName = "Padova", Type = "Province" },</v>
      </c>
    </row>
    <row r="241" spans="1:8" x14ac:dyDescent="0.25">
      <c r="A241">
        <f t="shared" si="11"/>
        <v>240</v>
      </c>
      <c r="B241" t="s">
        <v>830</v>
      </c>
      <c r="C241" t="s">
        <v>273</v>
      </c>
      <c r="D241" t="s">
        <v>412</v>
      </c>
      <c r="F241">
        <v>87</v>
      </c>
      <c r="G241" t="str">
        <f t="shared" si="9"/>
        <v>Palermo</v>
      </c>
      <c r="H241" t="str">
        <f t="shared" si="10"/>
        <v>new Models.State() {Name = "Palermo", Code =  "PA", Id =240, CountryId = 87, LocalName = "Palermo", Type = "Province" },</v>
      </c>
    </row>
    <row r="242" spans="1:8" x14ac:dyDescent="0.25">
      <c r="A242">
        <f t="shared" si="11"/>
        <v>241</v>
      </c>
      <c r="B242" t="s">
        <v>831</v>
      </c>
      <c r="C242" t="s">
        <v>480</v>
      </c>
      <c r="D242" t="s">
        <v>412</v>
      </c>
      <c r="F242">
        <v>87</v>
      </c>
      <c r="G242" t="str">
        <f t="shared" si="9"/>
        <v>Parma</v>
      </c>
      <c r="H242" t="str">
        <f t="shared" si="10"/>
        <v>new Models.State() {Name = "Parma", Code =  "PR", Id =241, CountryId = 87, LocalName = "Parma", Type = "Province" },</v>
      </c>
    </row>
    <row r="243" spans="1:8" x14ac:dyDescent="0.25">
      <c r="A243">
        <f t="shared" si="11"/>
        <v>242</v>
      </c>
      <c r="B243" t="s">
        <v>832</v>
      </c>
      <c r="C243" t="s">
        <v>833</v>
      </c>
      <c r="D243" t="s">
        <v>412</v>
      </c>
      <c r="F243">
        <v>87</v>
      </c>
      <c r="G243" t="str">
        <f t="shared" si="9"/>
        <v>Pavia</v>
      </c>
      <c r="H243" t="str">
        <f t="shared" si="10"/>
        <v>new Models.State() {Name = "Pavia", Code =  "PV", Id =242, CountryId = 87, LocalName = "Pavia", Type = "Province" },</v>
      </c>
    </row>
    <row r="244" spans="1:8" x14ac:dyDescent="0.25">
      <c r="A244">
        <f t="shared" si="11"/>
        <v>243</v>
      </c>
      <c r="B244" t="s">
        <v>834</v>
      </c>
      <c r="C244" t="s">
        <v>275</v>
      </c>
      <c r="D244" t="s">
        <v>412</v>
      </c>
      <c r="F244">
        <v>87</v>
      </c>
      <c r="G244" t="str">
        <f t="shared" si="9"/>
        <v>Perugia</v>
      </c>
      <c r="H244" t="str">
        <f t="shared" si="10"/>
        <v>new Models.State() {Name = "Perugia", Code =  "PG", Id =243, CountryId = 87, LocalName = "Perugia", Type = "Province" },</v>
      </c>
    </row>
    <row r="245" spans="1:8" x14ac:dyDescent="0.25">
      <c r="A245">
        <f t="shared" si="11"/>
        <v>244</v>
      </c>
      <c r="B245" t="s">
        <v>835</v>
      </c>
      <c r="C245" t="s">
        <v>836</v>
      </c>
      <c r="D245" t="s">
        <v>412</v>
      </c>
      <c r="F245">
        <v>87</v>
      </c>
      <c r="G245" t="str">
        <f t="shared" si="9"/>
        <v>Pesaro e Urbino</v>
      </c>
      <c r="H245" t="str">
        <f t="shared" si="10"/>
        <v>new Models.State() {Name = "Pesaro e Urbino", Code =  "PU", Id =244, CountryId = 87, LocalName = "Pesaro e Urbino", Type = "Province" },</v>
      </c>
    </row>
    <row r="246" spans="1:8" x14ac:dyDescent="0.25">
      <c r="A246">
        <f t="shared" si="11"/>
        <v>245</v>
      </c>
      <c r="B246" t="s">
        <v>837</v>
      </c>
      <c r="C246" t="s">
        <v>279</v>
      </c>
      <c r="D246" t="s">
        <v>412</v>
      </c>
      <c r="F246">
        <v>87</v>
      </c>
      <c r="G246" t="str">
        <f t="shared" si="9"/>
        <v>Pescara</v>
      </c>
      <c r="H246" t="str">
        <f t="shared" si="10"/>
        <v>new Models.State() {Name = "Pescara", Code =  "PE", Id =245, CountryId = 87, LocalName = "Pescara", Type = "Province" },</v>
      </c>
    </row>
    <row r="247" spans="1:8" x14ac:dyDescent="0.25">
      <c r="A247">
        <f t="shared" si="11"/>
        <v>246</v>
      </c>
      <c r="B247" t="s">
        <v>838</v>
      </c>
      <c r="C247" t="s">
        <v>839</v>
      </c>
      <c r="D247" t="s">
        <v>412</v>
      </c>
      <c r="F247">
        <v>87</v>
      </c>
      <c r="G247" t="str">
        <f t="shared" si="9"/>
        <v>Piacenza</v>
      </c>
      <c r="H247" t="str">
        <f t="shared" si="10"/>
        <v>new Models.State() {Name = "Piacenza", Code =  "PC", Id =246, CountryId = 87, LocalName = "Piacenza", Type = "Province" },</v>
      </c>
    </row>
    <row r="248" spans="1:8" x14ac:dyDescent="0.25">
      <c r="A248">
        <f t="shared" si="11"/>
        <v>247</v>
      </c>
      <c r="B248" t="s">
        <v>840</v>
      </c>
      <c r="C248" t="s">
        <v>486</v>
      </c>
      <c r="D248" t="s">
        <v>412</v>
      </c>
      <c r="F248">
        <v>87</v>
      </c>
      <c r="G248" t="str">
        <f t="shared" si="9"/>
        <v>Pisa</v>
      </c>
      <c r="H248" t="str">
        <f t="shared" si="10"/>
        <v>new Models.State() {Name = "Pisa", Code =  "PI", Id =247, CountryId = 87, LocalName = "Pisa", Type = "Province" },</v>
      </c>
    </row>
    <row r="249" spans="1:8" x14ac:dyDescent="0.25">
      <c r="A249">
        <f t="shared" si="11"/>
        <v>248</v>
      </c>
      <c r="B249" t="s">
        <v>841</v>
      </c>
      <c r="C249" t="s">
        <v>287</v>
      </c>
      <c r="D249" t="s">
        <v>412</v>
      </c>
      <c r="F249">
        <v>87</v>
      </c>
      <c r="G249" t="str">
        <f t="shared" si="9"/>
        <v>Pistoia</v>
      </c>
      <c r="H249" t="str">
        <f t="shared" si="10"/>
        <v>new Models.State() {Name = "Pistoia", Code =  "PT", Id =248, CountryId = 87, LocalName = "Pistoia", Type = "Province" },</v>
      </c>
    </row>
    <row r="250" spans="1:8" x14ac:dyDescent="0.25">
      <c r="A250">
        <f t="shared" si="11"/>
        <v>249</v>
      </c>
      <c r="B250" t="s">
        <v>842</v>
      </c>
      <c r="C250" t="s">
        <v>283</v>
      </c>
      <c r="D250" t="s">
        <v>412</v>
      </c>
      <c r="F250">
        <v>87</v>
      </c>
      <c r="G250" t="str">
        <f t="shared" si="9"/>
        <v>Pordenone</v>
      </c>
      <c r="H250" t="str">
        <f t="shared" si="10"/>
        <v>new Models.State() {Name = "Pordenone", Code =  "PN", Id =249, CountryId = 87, LocalName = "Pordenone", Type = "Province" },</v>
      </c>
    </row>
    <row r="251" spans="1:8" x14ac:dyDescent="0.25">
      <c r="A251">
        <f t="shared" si="11"/>
        <v>250</v>
      </c>
      <c r="B251" t="s">
        <v>843</v>
      </c>
      <c r="C251" t="s">
        <v>844</v>
      </c>
      <c r="D251" t="s">
        <v>412</v>
      </c>
      <c r="F251">
        <v>87</v>
      </c>
      <c r="G251" t="str">
        <f t="shared" si="9"/>
        <v>Potenza</v>
      </c>
      <c r="H251" t="str">
        <f t="shared" si="10"/>
        <v>new Models.State() {Name = "Potenza", Code =  "PZ", Id =250, CountryId = 87, LocalName = "Potenza", Type = "Province" },</v>
      </c>
    </row>
    <row r="252" spans="1:8" x14ac:dyDescent="0.25">
      <c r="A252">
        <f t="shared" si="11"/>
        <v>251</v>
      </c>
      <c r="B252" t="s">
        <v>845</v>
      </c>
      <c r="C252" t="s">
        <v>846</v>
      </c>
      <c r="D252" t="s">
        <v>412</v>
      </c>
      <c r="F252">
        <v>87</v>
      </c>
      <c r="G252" t="str">
        <f t="shared" si="9"/>
        <v>Prato</v>
      </c>
      <c r="H252" t="str">
        <f t="shared" si="10"/>
        <v>new Models.State() {Name = "Prato", Code =  "PO", Id =251, CountryId = 87, LocalName = "Prato", Type = "Province" },</v>
      </c>
    </row>
    <row r="253" spans="1:8" x14ac:dyDescent="0.25">
      <c r="A253">
        <f t="shared" si="11"/>
        <v>252</v>
      </c>
      <c r="B253" t="s">
        <v>847</v>
      </c>
      <c r="C253" t="s">
        <v>848</v>
      </c>
      <c r="D253" t="s">
        <v>412</v>
      </c>
      <c r="F253">
        <v>87</v>
      </c>
      <c r="G253" t="str">
        <f t="shared" si="9"/>
        <v>Ragusa</v>
      </c>
      <c r="H253" t="str">
        <f t="shared" si="10"/>
        <v>new Models.State() {Name = "Ragusa", Code =  "RG", Id =252, CountryId = 87, LocalName = "Ragusa", Type = "Province" },</v>
      </c>
    </row>
    <row r="254" spans="1:8" x14ac:dyDescent="0.25">
      <c r="A254">
        <f t="shared" si="11"/>
        <v>253</v>
      </c>
      <c r="B254" t="s">
        <v>849</v>
      </c>
      <c r="C254" t="s">
        <v>850</v>
      </c>
      <c r="D254" t="s">
        <v>412</v>
      </c>
      <c r="F254">
        <v>87</v>
      </c>
      <c r="G254" t="str">
        <f t="shared" si="9"/>
        <v>Ravenna</v>
      </c>
      <c r="H254" t="str">
        <f t="shared" si="10"/>
        <v>new Models.State() {Name = "Ravenna", Code =  "RA", Id =253, CountryId = 87, LocalName = "Ravenna", Type = "Province" },</v>
      </c>
    </row>
    <row r="255" spans="1:8" x14ac:dyDescent="0.25">
      <c r="A255">
        <f t="shared" si="11"/>
        <v>254</v>
      </c>
      <c r="B255" t="s">
        <v>851</v>
      </c>
      <c r="C255" t="s">
        <v>852</v>
      </c>
      <c r="D255" t="s">
        <v>412</v>
      </c>
      <c r="F255">
        <v>87</v>
      </c>
      <c r="G255" t="str">
        <f t="shared" si="9"/>
        <v>Reggio Calabria</v>
      </c>
      <c r="H255" t="str">
        <f t="shared" si="10"/>
        <v>new Models.State() {Name = "Reggio Calabria", Code =  "RC", Id =254, CountryId = 87, LocalName = "Reggio Calabria", Type = "Province" },</v>
      </c>
    </row>
    <row r="256" spans="1:8" x14ac:dyDescent="0.25">
      <c r="A256">
        <f t="shared" si="11"/>
        <v>255</v>
      </c>
      <c r="B256" t="s">
        <v>853</v>
      </c>
      <c r="C256" t="s">
        <v>291</v>
      </c>
      <c r="D256" t="s">
        <v>412</v>
      </c>
      <c r="F256">
        <v>87</v>
      </c>
      <c r="G256" t="str">
        <f t="shared" si="9"/>
        <v>Reggio Emilia</v>
      </c>
      <c r="H256" t="str">
        <f t="shared" si="10"/>
        <v>new Models.State() {Name = "Reggio Emilia", Code =  "RE", Id =255, CountryId = 87, LocalName = "Reggio Emilia", Type = "Province" },</v>
      </c>
    </row>
    <row r="257" spans="1:8" x14ac:dyDescent="0.25">
      <c r="A257">
        <f t="shared" si="11"/>
        <v>256</v>
      </c>
      <c r="B257" t="s">
        <v>854</v>
      </c>
      <c r="C257" t="s">
        <v>855</v>
      </c>
      <c r="D257" t="s">
        <v>412</v>
      </c>
      <c r="F257">
        <v>87</v>
      </c>
      <c r="G257" t="str">
        <f t="shared" si="9"/>
        <v>Rieti</v>
      </c>
      <c r="H257" t="str">
        <f t="shared" si="10"/>
        <v>new Models.State() {Name = "Rieti", Code =  "RI", Id =256, CountryId = 87, LocalName = "Rieti", Type = "Province" },</v>
      </c>
    </row>
    <row r="258" spans="1:8" x14ac:dyDescent="0.25">
      <c r="A258">
        <f t="shared" si="11"/>
        <v>257</v>
      </c>
      <c r="B258" t="s">
        <v>856</v>
      </c>
      <c r="C258" t="s">
        <v>488</v>
      </c>
      <c r="D258" t="s">
        <v>412</v>
      </c>
      <c r="F258">
        <v>87</v>
      </c>
      <c r="G258" t="str">
        <f t="shared" si="9"/>
        <v>Rimini</v>
      </c>
      <c r="H258" t="str">
        <f t="shared" si="10"/>
        <v>new Models.State() {Name = "Rimini", Code =  "RN", Id =257, CountryId = 87, LocalName = "Rimini", Type = "Province" },</v>
      </c>
    </row>
    <row r="259" spans="1:8" x14ac:dyDescent="0.25">
      <c r="A259">
        <f t="shared" si="11"/>
        <v>258</v>
      </c>
      <c r="B259" t="s">
        <v>857</v>
      </c>
      <c r="C259" t="s">
        <v>858</v>
      </c>
      <c r="D259" t="s">
        <v>412</v>
      </c>
      <c r="F259">
        <v>87</v>
      </c>
      <c r="G259" t="str">
        <f t="shared" ref="G259:G322" si="12">IF(E259="",B259,E259)</f>
        <v>Roma</v>
      </c>
      <c r="H259" t="str">
        <f t="shared" ref="H259:H322" si="13">"new Models.State() {Name = """&amp;B259&amp;""", Code =  """&amp;C259&amp;""", Id ="&amp;A259&amp;", CountryId = "&amp;F259&amp;", LocalName = """&amp;G259&amp;""", Type = """&amp;D259&amp;""" },"</f>
        <v>new Models.State() {Name = "Roma", Code =  "RM", Id =258, CountryId = 87, LocalName = "Roma", Type = "Province" },</v>
      </c>
    </row>
    <row r="260" spans="1:8" x14ac:dyDescent="0.25">
      <c r="A260">
        <f t="shared" ref="A260:A323" si="14">1+A259</f>
        <v>259</v>
      </c>
      <c r="B260" t="s">
        <v>859</v>
      </c>
      <c r="C260" t="s">
        <v>293</v>
      </c>
      <c r="D260" t="s">
        <v>412</v>
      </c>
      <c r="F260">
        <v>87</v>
      </c>
      <c r="G260" t="str">
        <f t="shared" si="12"/>
        <v>Rovigo</v>
      </c>
      <c r="H260" t="str">
        <f t="shared" si="13"/>
        <v>new Models.State() {Name = "Rovigo", Code =  "RO", Id =259, CountryId = 87, LocalName = "Rovigo", Type = "Province" },</v>
      </c>
    </row>
    <row r="261" spans="1:8" x14ac:dyDescent="0.25">
      <c r="A261">
        <f t="shared" si="14"/>
        <v>260</v>
      </c>
      <c r="B261" t="s">
        <v>860</v>
      </c>
      <c r="C261" t="s">
        <v>305</v>
      </c>
      <c r="D261" t="s">
        <v>412</v>
      </c>
      <c r="F261">
        <v>87</v>
      </c>
      <c r="G261" t="str">
        <f t="shared" si="12"/>
        <v>Salerno</v>
      </c>
      <c r="H261" t="str">
        <f t="shared" si="13"/>
        <v>new Models.State() {Name = "Salerno", Code =  "SA", Id =260, CountryId = 87, LocalName = "Salerno", Type = "Province" },</v>
      </c>
    </row>
    <row r="262" spans="1:8" x14ac:dyDescent="0.25">
      <c r="A262">
        <f t="shared" si="14"/>
        <v>261</v>
      </c>
      <c r="B262" t="s">
        <v>861</v>
      </c>
      <c r="C262" t="s">
        <v>862</v>
      </c>
      <c r="D262" t="s">
        <v>412</v>
      </c>
      <c r="F262">
        <v>87</v>
      </c>
      <c r="G262" t="str">
        <f t="shared" si="12"/>
        <v>Sassari</v>
      </c>
      <c r="H262" t="str">
        <f t="shared" si="13"/>
        <v>new Models.State() {Name = "Sassari", Code =  "SS", Id =261, CountryId = 87, LocalName = "Sassari", Type = "Province" },</v>
      </c>
    </row>
    <row r="263" spans="1:8" x14ac:dyDescent="0.25">
      <c r="A263">
        <f t="shared" si="14"/>
        <v>262</v>
      </c>
      <c r="B263" t="s">
        <v>863</v>
      </c>
      <c r="C263" t="s">
        <v>109</v>
      </c>
      <c r="D263" t="s">
        <v>412</v>
      </c>
      <c r="F263">
        <v>87</v>
      </c>
      <c r="G263" t="str">
        <f t="shared" si="12"/>
        <v>Savona</v>
      </c>
      <c r="H263" t="str">
        <f t="shared" si="13"/>
        <v>new Models.State() {Name = "Savona", Code =  "SV", Id =262, CountryId = 87, LocalName = "Savona", Type = "Province" },</v>
      </c>
    </row>
    <row r="264" spans="1:8" x14ac:dyDescent="0.25">
      <c r="A264">
        <f t="shared" si="14"/>
        <v>263</v>
      </c>
      <c r="B264" t="s">
        <v>864</v>
      </c>
      <c r="C264" t="s">
        <v>319</v>
      </c>
      <c r="D264" t="s">
        <v>412</v>
      </c>
      <c r="F264">
        <v>87</v>
      </c>
      <c r="G264" t="str">
        <f t="shared" si="12"/>
        <v>Siena</v>
      </c>
      <c r="H264" t="str">
        <f t="shared" si="13"/>
        <v>new Models.State() {Name = "Siena", Code =  "SI", Id =263, CountryId = 87, LocalName = "Siena", Type = "Province" },</v>
      </c>
    </row>
    <row r="265" spans="1:8" x14ac:dyDescent="0.25">
      <c r="A265">
        <f t="shared" si="14"/>
        <v>264</v>
      </c>
      <c r="B265" t="s">
        <v>865</v>
      </c>
      <c r="C265" t="s">
        <v>343</v>
      </c>
      <c r="D265" t="s">
        <v>412</v>
      </c>
      <c r="F265">
        <v>87</v>
      </c>
      <c r="G265" t="str">
        <f t="shared" si="12"/>
        <v>Siracusa</v>
      </c>
      <c r="H265" t="str">
        <f t="shared" si="13"/>
        <v>new Models.State() {Name = "Siracusa", Code =  "SR", Id =264, CountryId = 87, LocalName = "Siracusa", Type = "Province" },</v>
      </c>
    </row>
    <row r="266" spans="1:8" x14ac:dyDescent="0.25">
      <c r="A266">
        <f t="shared" si="14"/>
        <v>265</v>
      </c>
      <c r="B266" t="s">
        <v>866</v>
      </c>
      <c r="C266" t="s">
        <v>323</v>
      </c>
      <c r="D266" t="s">
        <v>412</v>
      </c>
      <c r="F266">
        <v>87</v>
      </c>
      <c r="G266" t="str">
        <f t="shared" si="12"/>
        <v>Sondrio</v>
      </c>
      <c r="H266" t="str">
        <f t="shared" si="13"/>
        <v>new Models.State() {Name = "Sondrio", Code =  "SO", Id =265, CountryId = 87, LocalName = "Sondrio", Type = "Province" },</v>
      </c>
    </row>
    <row r="267" spans="1:8" x14ac:dyDescent="0.25">
      <c r="A267">
        <f t="shared" si="14"/>
        <v>266</v>
      </c>
      <c r="B267" t="s">
        <v>867</v>
      </c>
      <c r="C267" t="s">
        <v>868</v>
      </c>
      <c r="D267" t="s">
        <v>412</v>
      </c>
      <c r="F267">
        <v>87</v>
      </c>
      <c r="G267" t="str">
        <f t="shared" si="12"/>
        <v>Taranto</v>
      </c>
      <c r="H267" t="str">
        <f t="shared" si="13"/>
        <v>new Models.State() {Name = "Taranto", Code =  "TA", Id =266, CountryId = 87, LocalName = "Taranto", Type = "Province" },</v>
      </c>
    </row>
    <row r="268" spans="1:8" x14ac:dyDescent="0.25">
      <c r="A268">
        <f t="shared" si="14"/>
        <v>267</v>
      </c>
      <c r="B268" t="s">
        <v>869</v>
      </c>
      <c r="C268" t="s">
        <v>870</v>
      </c>
      <c r="D268" t="s">
        <v>412</v>
      </c>
      <c r="F268">
        <v>87</v>
      </c>
      <c r="G268" t="str">
        <f t="shared" si="12"/>
        <v>Teramo</v>
      </c>
      <c r="H268" t="str">
        <f t="shared" si="13"/>
        <v>new Models.State() {Name = "Teramo", Code =  "TE", Id =267, CountryId = 87, LocalName = "Teramo", Type = "Province" },</v>
      </c>
    </row>
    <row r="269" spans="1:8" x14ac:dyDescent="0.25">
      <c r="A269">
        <f t="shared" si="14"/>
        <v>268</v>
      </c>
      <c r="B269" t="s">
        <v>871</v>
      </c>
      <c r="C269" t="s">
        <v>872</v>
      </c>
      <c r="D269" t="s">
        <v>412</v>
      </c>
      <c r="F269">
        <v>87</v>
      </c>
      <c r="G269" t="str">
        <f t="shared" si="12"/>
        <v>Terni</v>
      </c>
      <c r="H269" t="str">
        <f t="shared" si="13"/>
        <v>new Models.State() {Name = "Terni", Code =  "TR", Id =268, CountryId = 87, LocalName = "Terni", Type = "Province" },</v>
      </c>
    </row>
    <row r="270" spans="1:8" x14ac:dyDescent="0.25">
      <c r="A270">
        <f t="shared" si="14"/>
        <v>269</v>
      </c>
      <c r="B270" t="s">
        <v>873</v>
      </c>
      <c r="C270" t="s">
        <v>363</v>
      </c>
      <c r="D270" t="s">
        <v>412</v>
      </c>
      <c r="F270">
        <v>87</v>
      </c>
      <c r="G270" t="str">
        <f t="shared" si="12"/>
        <v>Torino</v>
      </c>
      <c r="H270" t="str">
        <f t="shared" si="13"/>
        <v>new Models.State() {Name = "Torino", Code =  "TO", Id =269, CountryId = 87, LocalName = "Torino", Type = "Province" },</v>
      </c>
    </row>
    <row r="271" spans="1:8" x14ac:dyDescent="0.25">
      <c r="A271">
        <f t="shared" si="14"/>
        <v>270</v>
      </c>
      <c r="B271" t="s">
        <v>874</v>
      </c>
      <c r="C271" t="s">
        <v>875</v>
      </c>
      <c r="D271" t="s">
        <v>412</v>
      </c>
      <c r="F271">
        <v>87</v>
      </c>
      <c r="G271" t="str">
        <f t="shared" si="12"/>
        <v>Trapani</v>
      </c>
      <c r="H271" t="str">
        <f t="shared" si="13"/>
        <v>new Models.State() {Name = "Trapani", Code =  "TP", Id =270, CountryId = 87, LocalName = "Trapani", Type = "Province" },</v>
      </c>
    </row>
    <row r="272" spans="1:8" x14ac:dyDescent="0.25">
      <c r="A272">
        <f t="shared" si="14"/>
        <v>271</v>
      </c>
      <c r="B272" t="s">
        <v>876</v>
      </c>
      <c r="C272" t="s">
        <v>367</v>
      </c>
      <c r="D272" t="s">
        <v>412</v>
      </c>
      <c r="F272">
        <v>87</v>
      </c>
      <c r="G272" t="str">
        <f t="shared" si="12"/>
        <v>Trento</v>
      </c>
      <c r="H272" t="str">
        <f t="shared" si="13"/>
        <v>new Models.State() {Name = "Trento", Code =  "TN", Id =271, CountryId = 87, LocalName = "Trento", Type = "Province" },</v>
      </c>
    </row>
    <row r="273" spans="1:8" x14ac:dyDescent="0.25">
      <c r="A273">
        <f t="shared" si="14"/>
        <v>272</v>
      </c>
      <c r="B273" t="s">
        <v>877</v>
      </c>
      <c r="C273" t="s">
        <v>373</v>
      </c>
      <c r="D273" t="s">
        <v>412</v>
      </c>
      <c r="F273">
        <v>87</v>
      </c>
      <c r="G273" t="str">
        <f t="shared" si="12"/>
        <v>Treviso</v>
      </c>
      <c r="H273" t="str">
        <f t="shared" si="13"/>
        <v>new Models.State() {Name = "Treviso", Code =  "TV", Id =272, CountryId = 87, LocalName = "Treviso", Type = "Province" },</v>
      </c>
    </row>
    <row r="274" spans="1:8" x14ac:dyDescent="0.25">
      <c r="A274">
        <f t="shared" si="14"/>
        <v>273</v>
      </c>
      <c r="B274" t="s">
        <v>878</v>
      </c>
      <c r="C274" t="s">
        <v>879</v>
      </c>
      <c r="D274" t="s">
        <v>412</v>
      </c>
      <c r="F274">
        <v>87</v>
      </c>
      <c r="G274" t="str">
        <f t="shared" si="12"/>
        <v>Trieste</v>
      </c>
      <c r="H274" t="str">
        <f t="shared" si="13"/>
        <v>new Models.State() {Name = "Trieste", Code =  "TS", Id =273, CountryId = 87, LocalName = "Trieste", Type = "Province" },</v>
      </c>
    </row>
    <row r="275" spans="1:8" x14ac:dyDescent="0.25">
      <c r="A275">
        <f t="shared" si="14"/>
        <v>274</v>
      </c>
      <c r="B275" t="s">
        <v>880</v>
      </c>
      <c r="C275" t="s">
        <v>881</v>
      </c>
      <c r="D275" t="s">
        <v>412</v>
      </c>
      <c r="F275">
        <v>87</v>
      </c>
      <c r="G275" t="str">
        <f t="shared" si="12"/>
        <v>Udine</v>
      </c>
      <c r="H275" t="str">
        <f t="shared" si="13"/>
        <v>new Models.State() {Name = "Udine", Code =  "UD", Id =274, CountryId = 87, LocalName = "Udine", Type = "Province" },</v>
      </c>
    </row>
    <row r="276" spans="1:8" x14ac:dyDescent="0.25">
      <c r="A276">
        <f t="shared" si="14"/>
        <v>275</v>
      </c>
      <c r="B276" t="s">
        <v>882</v>
      </c>
      <c r="C276" t="s">
        <v>389</v>
      </c>
      <c r="D276" t="s">
        <v>412</v>
      </c>
      <c r="F276">
        <v>87</v>
      </c>
      <c r="G276" t="str">
        <f t="shared" si="12"/>
        <v>Varese</v>
      </c>
      <c r="H276" t="str">
        <f t="shared" si="13"/>
        <v>new Models.State() {Name = "Varese", Code =  "VA", Id =275, CountryId = 87, LocalName = "Varese", Type = "Province" },</v>
      </c>
    </row>
    <row r="277" spans="1:8" x14ac:dyDescent="0.25">
      <c r="A277">
        <f t="shared" si="14"/>
        <v>276</v>
      </c>
      <c r="B277" t="s">
        <v>883</v>
      </c>
      <c r="C277" t="s">
        <v>391</v>
      </c>
      <c r="D277" t="s">
        <v>412</v>
      </c>
      <c r="F277">
        <v>87</v>
      </c>
      <c r="G277" t="str">
        <f t="shared" si="12"/>
        <v>Venezia</v>
      </c>
      <c r="H277" t="str">
        <f t="shared" si="13"/>
        <v>new Models.State() {Name = "Venezia", Code =  "VE", Id =276, CountryId = 87, LocalName = "Venezia", Type = "Province" },</v>
      </c>
    </row>
    <row r="278" spans="1:8" x14ac:dyDescent="0.25">
      <c r="A278">
        <f t="shared" si="14"/>
        <v>277</v>
      </c>
      <c r="B278" t="s">
        <v>884</v>
      </c>
      <c r="C278" t="s">
        <v>885</v>
      </c>
      <c r="D278" t="s">
        <v>412</v>
      </c>
      <c r="F278">
        <v>87</v>
      </c>
      <c r="G278" t="str">
        <f t="shared" si="12"/>
        <v>Verbano-Cusio-Ossola</v>
      </c>
      <c r="H278" t="str">
        <f t="shared" si="13"/>
        <v>new Models.State() {Name = "Verbano-Cusio-Ossola", Code =  "VB", Id =277, CountryId = 87, LocalName = "Verbano-Cusio-Ossola", Type = "Province" },</v>
      </c>
    </row>
    <row r="279" spans="1:8" x14ac:dyDescent="0.25">
      <c r="A279">
        <f t="shared" si="14"/>
        <v>278</v>
      </c>
      <c r="B279" t="s">
        <v>886</v>
      </c>
      <c r="C279" t="s">
        <v>341</v>
      </c>
      <c r="D279" t="s">
        <v>412</v>
      </c>
      <c r="F279">
        <v>87</v>
      </c>
      <c r="G279" t="str">
        <f t="shared" si="12"/>
        <v>Vercelli</v>
      </c>
      <c r="H279" t="str">
        <f t="shared" si="13"/>
        <v>new Models.State() {Name = "Vercelli", Code =  "VC", Id =278, CountryId = 87, LocalName = "Vercelli", Type = "Province" },</v>
      </c>
    </row>
    <row r="280" spans="1:8" x14ac:dyDescent="0.25">
      <c r="A280">
        <f t="shared" si="14"/>
        <v>279</v>
      </c>
      <c r="B280" t="s">
        <v>887</v>
      </c>
      <c r="C280" t="s">
        <v>888</v>
      </c>
      <c r="D280" t="s">
        <v>412</v>
      </c>
      <c r="F280">
        <v>87</v>
      </c>
      <c r="G280" t="str">
        <f t="shared" si="12"/>
        <v>Verona</v>
      </c>
      <c r="H280" t="str">
        <f t="shared" si="13"/>
        <v>new Models.State() {Name = "Verona", Code =  "VR", Id =279, CountryId = 87, LocalName = "Verona", Type = "Province" },</v>
      </c>
    </row>
    <row r="281" spans="1:8" x14ac:dyDescent="0.25">
      <c r="A281">
        <f t="shared" si="14"/>
        <v>280</v>
      </c>
      <c r="B281" t="s">
        <v>889</v>
      </c>
      <c r="C281" t="s">
        <v>890</v>
      </c>
      <c r="D281" t="s">
        <v>412</v>
      </c>
      <c r="F281">
        <v>87</v>
      </c>
      <c r="G281" t="str">
        <f t="shared" si="12"/>
        <v>Vibo Valentia</v>
      </c>
      <c r="H281" t="str">
        <f t="shared" si="13"/>
        <v>new Models.State() {Name = "Vibo Valentia", Code =  "VV", Id =280, CountryId = 87, LocalName = "Vibo Valentia", Type = "Province" },</v>
      </c>
    </row>
    <row r="282" spans="1:8" x14ac:dyDescent="0.25">
      <c r="A282">
        <f t="shared" si="14"/>
        <v>281</v>
      </c>
      <c r="B282" t="s">
        <v>891</v>
      </c>
      <c r="C282" t="s">
        <v>892</v>
      </c>
      <c r="D282" t="s">
        <v>412</v>
      </c>
      <c r="F282">
        <v>87</v>
      </c>
      <c r="G282" t="str">
        <f t="shared" si="12"/>
        <v>Vicenza</v>
      </c>
      <c r="H282" t="str">
        <f t="shared" si="13"/>
        <v>new Models.State() {Name = "Vicenza", Code =  "VI", Id =281, CountryId = 87, LocalName = "Vicenza", Type = "Province" },</v>
      </c>
    </row>
    <row r="283" spans="1:8" x14ac:dyDescent="0.25">
      <c r="A283">
        <f t="shared" si="14"/>
        <v>282</v>
      </c>
      <c r="B283" t="s">
        <v>893</v>
      </c>
      <c r="C283" t="s">
        <v>894</v>
      </c>
      <c r="D283" t="s">
        <v>412</v>
      </c>
      <c r="F283">
        <v>87</v>
      </c>
      <c r="G283" t="str">
        <f t="shared" si="12"/>
        <v>Viterbo</v>
      </c>
      <c r="H283" t="str">
        <f t="shared" si="13"/>
        <v>new Models.State() {Name = "Viterbo", Code =  "VT", Id =282, CountryId = 87, LocalName = "Viterbo", Type = "Province" },</v>
      </c>
    </row>
    <row r="284" spans="1:8" x14ac:dyDescent="0.25">
      <c r="A284">
        <f t="shared" si="14"/>
        <v>283</v>
      </c>
      <c r="B284" t="s">
        <v>896</v>
      </c>
      <c r="C284" t="s">
        <v>897</v>
      </c>
      <c r="D284" t="s">
        <v>898</v>
      </c>
      <c r="F284">
        <v>89</v>
      </c>
      <c r="G284" t="str">
        <f t="shared" si="12"/>
        <v>Aichi</v>
      </c>
      <c r="H284" t="str">
        <f t="shared" si="13"/>
        <v>new Models.State() {Name = "Aichi", Code =  "AICHI-KEN", Id =283, CountryId = 89, LocalName = "Aichi", Type = "Prefecture" },</v>
      </c>
    </row>
    <row r="285" spans="1:8" x14ac:dyDescent="0.25">
      <c r="A285">
        <f t="shared" si="14"/>
        <v>284</v>
      </c>
      <c r="B285" t="s">
        <v>899</v>
      </c>
      <c r="C285" t="s">
        <v>900</v>
      </c>
      <c r="D285" t="s">
        <v>898</v>
      </c>
      <c r="F285">
        <v>89</v>
      </c>
      <c r="G285" t="str">
        <f t="shared" si="12"/>
        <v>Akita</v>
      </c>
      <c r="H285" t="str">
        <f t="shared" si="13"/>
        <v>new Models.State() {Name = "Akita", Code =  "AKITA-KEN", Id =284, CountryId = 89, LocalName = "Akita", Type = "Prefecture" },</v>
      </c>
    </row>
    <row r="286" spans="1:8" x14ac:dyDescent="0.25">
      <c r="A286">
        <f t="shared" si="14"/>
        <v>285</v>
      </c>
      <c r="B286" t="s">
        <v>901</v>
      </c>
      <c r="C286" t="s">
        <v>902</v>
      </c>
      <c r="D286" t="s">
        <v>898</v>
      </c>
      <c r="F286">
        <v>89</v>
      </c>
      <c r="G286" t="str">
        <f t="shared" si="12"/>
        <v>Aomori</v>
      </c>
      <c r="H286" t="str">
        <f t="shared" si="13"/>
        <v>new Models.State() {Name = "Aomori", Code =  "AOMORI-KEN", Id =285, CountryId = 89, LocalName = "Aomori", Type = "Prefecture" },</v>
      </c>
    </row>
    <row r="287" spans="1:8" x14ac:dyDescent="0.25">
      <c r="A287">
        <f t="shared" si="14"/>
        <v>286</v>
      </c>
      <c r="B287" t="s">
        <v>903</v>
      </c>
      <c r="C287" t="s">
        <v>904</v>
      </c>
      <c r="D287" t="s">
        <v>898</v>
      </c>
      <c r="F287">
        <v>89</v>
      </c>
      <c r="G287" t="str">
        <f t="shared" si="12"/>
        <v>Chiba</v>
      </c>
      <c r="H287" t="str">
        <f t="shared" si="13"/>
        <v>new Models.State() {Name = "Chiba", Code =  "CHIBA-KEN", Id =286, CountryId = 89, LocalName = "Chiba", Type = "Prefecture" },</v>
      </c>
    </row>
    <row r="288" spans="1:8" x14ac:dyDescent="0.25">
      <c r="A288">
        <f t="shared" si="14"/>
        <v>287</v>
      </c>
      <c r="B288" t="s">
        <v>905</v>
      </c>
      <c r="C288" t="s">
        <v>906</v>
      </c>
      <c r="D288" t="s">
        <v>898</v>
      </c>
      <c r="F288">
        <v>89</v>
      </c>
      <c r="G288" t="str">
        <f t="shared" si="12"/>
        <v>Ehime</v>
      </c>
      <c r="H288" t="str">
        <f t="shared" si="13"/>
        <v>new Models.State() {Name = "Ehime", Code =  "EHIME-KEN", Id =287, CountryId = 89, LocalName = "Ehime", Type = "Prefecture" },</v>
      </c>
    </row>
    <row r="289" spans="1:8" x14ac:dyDescent="0.25">
      <c r="A289">
        <f t="shared" si="14"/>
        <v>288</v>
      </c>
      <c r="B289" t="s">
        <v>907</v>
      </c>
      <c r="C289" t="s">
        <v>908</v>
      </c>
      <c r="D289" t="s">
        <v>898</v>
      </c>
      <c r="F289">
        <v>89</v>
      </c>
      <c r="G289" t="str">
        <f t="shared" si="12"/>
        <v>Fukui</v>
      </c>
      <c r="H289" t="str">
        <f t="shared" si="13"/>
        <v>new Models.State() {Name = "Fukui", Code =  "FUKUI-KEN", Id =288, CountryId = 89, LocalName = "Fukui", Type = "Prefecture" },</v>
      </c>
    </row>
    <row r="290" spans="1:8" x14ac:dyDescent="0.25">
      <c r="A290">
        <f t="shared" si="14"/>
        <v>289</v>
      </c>
      <c r="B290" t="s">
        <v>909</v>
      </c>
      <c r="C290" t="s">
        <v>910</v>
      </c>
      <c r="D290" t="s">
        <v>898</v>
      </c>
      <c r="F290">
        <v>89</v>
      </c>
      <c r="G290" t="str">
        <f t="shared" si="12"/>
        <v>Fukuoka</v>
      </c>
      <c r="H290" t="str">
        <f t="shared" si="13"/>
        <v>new Models.State() {Name = "Fukuoka", Code =  "FUKUOKA-KEN", Id =289, CountryId = 89, LocalName = "Fukuoka", Type = "Prefecture" },</v>
      </c>
    </row>
    <row r="291" spans="1:8" x14ac:dyDescent="0.25">
      <c r="A291">
        <f t="shared" si="14"/>
        <v>290</v>
      </c>
      <c r="B291" t="s">
        <v>911</v>
      </c>
      <c r="C291" t="s">
        <v>912</v>
      </c>
      <c r="D291" t="s">
        <v>898</v>
      </c>
      <c r="F291">
        <v>89</v>
      </c>
      <c r="G291" t="str">
        <f t="shared" si="12"/>
        <v>Fukushima</v>
      </c>
      <c r="H291" t="str">
        <f t="shared" si="13"/>
        <v>new Models.State() {Name = "Fukushima", Code =  "FUKUSHIMA-KEN", Id =290, CountryId = 89, LocalName = "Fukushima", Type = "Prefecture" },</v>
      </c>
    </row>
    <row r="292" spans="1:8" x14ac:dyDescent="0.25">
      <c r="A292">
        <f t="shared" si="14"/>
        <v>291</v>
      </c>
      <c r="B292" t="s">
        <v>913</v>
      </c>
      <c r="C292" t="s">
        <v>914</v>
      </c>
      <c r="D292" t="s">
        <v>898</v>
      </c>
      <c r="F292">
        <v>89</v>
      </c>
      <c r="G292" t="str">
        <f t="shared" si="12"/>
        <v>Gifu</v>
      </c>
      <c r="H292" t="str">
        <f t="shared" si="13"/>
        <v>new Models.State() {Name = "Gifu", Code =  "GIFU-KEN", Id =291, CountryId = 89, LocalName = "Gifu", Type = "Prefecture" },</v>
      </c>
    </row>
    <row r="293" spans="1:8" x14ac:dyDescent="0.25">
      <c r="A293">
        <f t="shared" si="14"/>
        <v>292</v>
      </c>
      <c r="B293" t="s">
        <v>915</v>
      </c>
      <c r="C293" t="s">
        <v>916</v>
      </c>
      <c r="D293" t="s">
        <v>898</v>
      </c>
      <c r="F293">
        <v>89</v>
      </c>
      <c r="G293" t="str">
        <f t="shared" si="12"/>
        <v>Gunma</v>
      </c>
      <c r="H293" t="str">
        <f t="shared" si="13"/>
        <v>new Models.State() {Name = "Gunma", Code =  "GUNMA-KEN", Id =292, CountryId = 89, LocalName = "Gunma", Type = "Prefecture" },</v>
      </c>
    </row>
    <row r="294" spans="1:8" x14ac:dyDescent="0.25">
      <c r="A294">
        <f t="shared" si="14"/>
        <v>293</v>
      </c>
      <c r="B294" t="s">
        <v>917</v>
      </c>
      <c r="C294" t="s">
        <v>918</v>
      </c>
      <c r="D294" t="s">
        <v>898</v>
      </c>
      <c r="F294">
        <v>89</v>
      </c>
      <c r="G294" t="str">
        <f t="shared" si="12"/>
        <v>Hiroshima</v>
      </c>
      <c r="H294" t="str">
        <f t="shared" si="13"/>
        <v>new Models.State() {Name = "Hiroshima", Code =  "HIROSHIMA-KEN", Id =293, CountryId = 89, LocalName = "Hiroshima", Type = "Prefecture" },</v>
      </c>
    </row>
    <row r="295" spans="1:8" x14ac:dyDescent="0.25">
      <c r="A295">
        <f t="shared" si="14"/>
        <v>294</v>
      </c>
      <c r="B295" t="s">
        <v>919</v>
      </c>
      <c r="C295" t="s">
        <v>920</v>
      </c>
      <c r="D295" t="s">
        <v>898</v>
      </c>
      <c r="F295">
        <v>89</v>
      </c>
      <c r="G295" t="str">
        <f t="shared" si="12"/>
        <v>Hokkaido</v>
      </c>
      <c r="H295" t="str">
        <f t="shared" si="13"/>
        <v>new Models.State() {Name = "Hokkaido", Code =  "HOKKAIDO", Id =294, CountryId = 89, LocalName = "Hokkaido", Type = "Prefecture" },</v>
      </c>
    </row>
    <row r="296" spans="1:8" x14ac:dyDescent="0.25">
      <c r="A296">
        <f t="shared" si="14"/>
        <v>295</v>
      </c>
      <c r="B296" t="s">
        <v>921</v>
      </c>
      <c r="C296" t="s">
        <v>922</v>
      </c>
      <c r="D296" t="s">
        <v>898</v>
      </c>
      <c r="F296">
        <v>89</v>
      </c>
      <c r="G296" t="str">
        <f t="shared" si="12"/>
        <v>Hyogo</v>
      </c>
      <c r="H296" t="str">
        <f t="shared" si="13"/>
        <v>new Models.State() {Name = "Hyogo", Code =  "HYOGO-KEN", Id =295, CountryId = 89, LocalName = "Hyogo", Type = "Prefecture" },</v>
      </c>
    </row>
    <row r="297" spans="1:8" x14ac:dyDescent="0.25">
      <c r="A297">
        <f t="shared" si="14"/>
        <v>296</v>
      </c>
      <c r="B297" t="s">
        <v>923</v>
      </c>
      <c r="C297" t="s">
        <v>924</v>
      </c>
      <c r="D297" t="s">
        <v>898</v>
      </c>
      <c r="F297">
        <v>89</v>
      </c>
      <c r="G297" t="str">
        <f t="shared" si="12"/>
        <v>Ibaraki</v>
      </c>
      <c r="H297" t="str">
        <f t="shared" si="13"/>
        <v>new Models.State() {Name = "Ibaraki", Code =  "IBARAKI-KEN", Id =296, CountryId = 89, LocalName = "Ibaraki", Type = "Prefecture" },</v>
      </c>
    </row>
    <row r="298" spans="1:8" x14ac:dyDescent="0.25">
      <c r="A298">
        <f t="shared" si="14"/>
        <v>297</v>
      </c>
      <c r="B298" t="s">
        <v>925</v>
      </c>
      <c r="C298" t="s">
        <v>926</v>
      </c>
      <c r="D298" t="s">
        <v>898</v>
      </c>
      <c r="F298">
        <v>89</v>
      </c>
      <c r="G298" t="str">
        <f t="shared" si="12"/>
        <v>Ishikawa</v>
      </c>
      <c r="H298" t="str">
        <f t="shared" si="13"/>
        <v>new Models.State() {Name = "Ishikawa", Code =  "ISHIKAWA-KEN", Id =297, CountryId = 89, LocalName = "Ishikawa", Type = "Prefecture" },</v>
      </c>
    </row>
    <row r="299" spans="1:8" x14ac:dyDescent="0.25">
      <c r="A299">
        <f t="shared" si="14"/>
        <v>298</v>
      </c>
      <c r="B299" t="s">
        <v>927</v>
      </c>
      <c r="C299" t="s">
        <v>928</v>
      </c>
      <c r="D299" t="s">
        <v>898</v>
      </c>
      <c r="F299">
        <v>89</v>
      </c>
      <c r="G299" t="str">
        <f t="shared" si="12"/>
        <v>Iwate</v>
      </c>
      <c r="H299" t="str">
        <f t="shared" si="13"/>
        <v>new Models.State() {Name = "Iwate", Code =  "IWATE-KEN", Id =298, CountryId = 89, LocalName = "Iwate", Type = "Prefecture" },</v>
      </c>
    </row>
    <row r="300" spans="1:8" x14ac:dyDescent="0.25">
      <c r="A300">
        <f t="shared" si="14"/>
        <v>299</v>
      </c>
      <c r="B300" t="s">
        <v>929</v>
      </c>
      <c r="C300" t="s">
        <v>930</v>
      </c>
      <c r="D300" t="s">
        <v>898</v>
      </c>
      <c r="F300">
        <v>89</v>
      </c>
      <c r="G300" t="str">
        <f t="shared" si="12"/>
        <v>Kagawa</v>
      </c>
      <c r="H300" t="str">
        <f t="shared" si="13"/>
        <v>new Models.State() {Name = "Kagawa", Code =  "KAGAWA-KEN", Id =299, CountryId = 89, LocalName = "Kagawa", Type = "Prefecture" },</v>
      </c>
    </row>
    <row r="301" spans="1:8" x14ac:dyDescent="0.25">
      <c r="A301">
        <f t="shared" si="14"/>
        <v>300</v>
      </c>
      <c r="B301" t="s">
        <v>931</v>
      </c>
      <c r="C301" t="s">
        <v>932</v>
      </c>
      <c r="D301" t="s">
        <v>898</v>
      </c>
      <c r="F301">
        <v>89</v>
      </c>
      <c r="G301" t="str">
        <f t="shared" si="12"/>
        <v>Kagoshima</v>
      </c>
      <c r="H301" t="str">
        <f t="shared" si="13"/>
        <v>new Models.State() {Name = "Kagoshima", Code =  "KAGOSHIMA-KEN", Id =300, CountryId = 89, LocalName = "Kagoshima", Type = "Prefecture" },</v>
      </c>
    </row>
    <row r="302" spans="1:8" x14ac:dyDescent="0.25">
      <c r="A302">
        <f t="shared" si="14"/>
        <v>301</v>
      </c>
      <c r="B302" t="s">
        <v>933</v>
      </c>
      <c r="C302" t="s">
        <v>934</v>
      </c>
      <c r="D302" t="s">
        <v>898</v>
      </c>
      <c r="F302">
        <v>89</v>
      </c>
      <c r="G302" t="str">
        <f t="shared" si="12"/>
        <v>Kanagawa</v>
      </c>
      <c r="H302" t="str">
        <f t="shared" si="13"/>
        <v>new Models.State() {Name = "Kanagawa", Code =  "KANAGAWA-KEN", Id =301, CountryId = 89, LocalName = "Kanagawa", Type = "Prefecture" },</v>
      </c>
    </row>
    <row r="303" spans="1:8" x14ac:dyDescent="0.25">
      <c r="A303">
        <f t="shared" si="14"/>
        <v>302</v>
      </c>
      <c r="B303" t="s">
        <v>935</v>
      </c>
      <c r="C303" t="s">
        <v>936</v>
      </c>
      <c r="D303" t="s">
        <v>898</v>
      </c>
      <c r="F303">
        <v>89</v>
      </c>
      <c r="G303" t="str">
        <f t="shared" si="12"/>
        <v>Kochi</v>
      </c>
      <c r="H303" t="str">
        <f t="shared" si="13"/>
        <v>new Models.State() {Name = "Kochi", Code =  "KOCHI-KEN", Id =302, CountryId = 89, LocalName = "Kochi", Type = "Prefecture" },</v>
      </c>
    </row>
    <row r="304" spans="1:8" x14ac:dyDescent="0.25">
      <c r="A304">
        <f t="shared" si="14"/>
        <v>303</v>
      </c>
      <c r="B304" t="s">
        <v>937</v>
      </c>
      <c r="C304" t="s">
        <v>938</v>
      </c>
      <c r="D304" t="s">
        <v>898</v>
      </c>
      <c r="F304">
        <v>89</v>
      </c>
      <c r="G304" t="str">
        <f t="shared" si="12"/>
        <v>Kumamoto</v>
      </c>
      <c r="H304" t="str">
        <f t="shared" si="13"/>
        <v>new Models.State() {Name = "Kumamoto", Code =  "KUMAMOTO-KEN", Id =303, CountryId = 89, LocalName = "Kumamoto", Type = "Prefecture" },</v>
      </c>
    </row>
    <row r="305" spans="1:8" x14ac:dyDescent="0.25">
      <c r="A305">
        <f t="shared" si="14"/>
        <v>304</v>
      </c>
      <c r="B305" t="s">
        <v>939</v>
      </c>
      <c r="C305" t="s">
        <v>940</v>
      </c>
      <c r="D305" t="s">
        <v>898</v>
      </c>
      <c r="F305">
        <v>89</v>
      </c>
      <c r="G305" t="str">
        <f t="shared" si="12"/>
        <v>Kyoto</v>
      </c>
      <c r="H305" t="str">
        <f t="shared" si="13"/>
        <v>new Models.State() {Name = "Kyoto", Code =  "KYOTO-FU", Id =304, CountryId = 89, LocalName = "Kyoto", Type = "Prefecture" },</v>
      </c>
    </row>
    <row r="306" spans="1:8" x14ac:dyDescent="0.25">
      <c r="A306">
        <f t="shared" si="14"/>
        <v>305</v>
      </c>
      <c r="B306" t="s">
        <v>941</v>
      </c>
      <c r="C306" t="s">
        <v>942</v>
      </c>
      <c r="D306" t="s">
        <v>898</v>
      </c>
      <c r="F306">
        <v>89</v>
      </c>
      <c r="G306" t="str">
        <f t="shared" si="12"/>
        <v>Mie</v>
      </c>
      <c r="H306" t="str">
        <f t="shared" si="13"/>
        <v>new Models.State() {Name = "Mie", Code =  "MIE-KEN", Id =305, CountryId = 89, LocalName = "Mie", Type = "Prefecture" },</v>
      </c>
    </row>
    <row r="307" spans="1:8" x14ac:dyDescent="0.25">
      <c r="A307">
        <f t="shared" si="14"/>
        <v>306</v>
      </c>
      <c r="B307" t="s">
        <v>943</v>
      </c>
      <c r="C307" t="s">
        <v>944</v>
      </c>
      <c r="D307" t="s">
        <v>898</v>
      </c>
      <c r="F307">
        <v>89</v>
      </c>
      <c r="G307" t="str">
        <f t="shared" si="12"/>
        <v>Miyagi</v>
      </c>
      <c r="H307" t="str">
        <f t="shared" si="13"/>
        <v>new Models.State() {Name = "Miyagi", Code =  "MIYAGI-KEN", Id =306, CountryId = 89, LocalName = "Miyagi", Type = "Prefecture" },</v>
      </c>
    </row>
    <row r="308" spans="1:8" x14ac:dyDescent="0.25">
      <c r="A308">
        <f t="shared" si="14"/>
        <v>307</v>
      </c>
      <c r="B308" t="s">
        <v>945</v>
      </c>
      <c r="C308" t="s">
        <v>946</v>
      </c>
      <c r="D308" t="s">
        <v>898</v>
      </c>
      <c r="F308">
        <v>89</v>
      </c>
      <c r="G308" t="str">
        <f t="shared" si="12"/>
        <v>Miyazaki</v>
      </c>
      <c r="H308" t="str">
        <f t="shared" si="13"/>
        <v>new Models.State() {Name = "Miyazaki", Code =  "MIYAZAKI-KEN", Id =307, CountryId = 89, LocalName = "Miyazaki", Type = "Prefecture" },</v>
      </c>
    </row>
    <row r="309" spans="1:8" x14ac:dyDescent="0.25">
      <c r="A309">
        <f t="shared" si="14"/>
        <v>308</v>
      </c>
      <c r="B309" t="s">
        <v>947</v>
      </c>
      <c r="C309" t="s">
        <v>948</v>
      </c>
      <c r="D309" t="s">
        <v>898</v>
      </c>
      <c r="F309">
        <v>89</v>
      </c>
      <c r="G309" t="str">
        <f t="shared" si="12"/>
        <v>Nagano</v>
      </c>
      <c r="H309" t="str">
        <f t="shared" si="13"/>
        <v>new Models.State() {Name = "Nagano", Code =  "NAGANO-KEN", Id =308, CountryId = 89, LocalName = "Nagano", Type = "Prefecture" },</v>
      </c>
    </row>
    <row r="310" spans="1:8" x14ac:dyDescent="0.25">
      <c r="A310">
        <f t="shared" si="14"/>
        <v>309</v>
      </c>
      <c r="B310" t="s">
        <v>949</v>
      </c>
      <c r="C310" t="s">
        <v>950</v>
      </c>
      <c r="D310" t="s">
        <v>898</v>
      </c>
      <c r="F310">
        <v>89</v>
      </c>
      <c r="G310" t="str">
        <f t="shared" si="12"/>
        <v>Nagasaki</v>
      </c>
      <c r="H310" t="str">
        <f t="shared" si="13"/>
        <v>new Models.State() {Name = "Nagasaki", Code =  "NAGASAKI-KEN", Id =309, CountryId = 89, LocalName = "Nagasaki", Type = "Prefecture" },</v>
      </c>
    </row>
    <row r="311" spans="1:8" x14ac:dyDescent="0.25">
      <c r="A311">
        <f t="shared" si="14"/>
        <v>310</v>
      </c>
      <c r="B311" t="s">
        <v>951</v>
      </c>
      <c r="C311" t="s">
        <v>952</v>
      </c>
      <c r="D311" t="s">
        <v>898</v>
      </c>
      <c r="F311">
        <v>89</v>
      </c>
      <c r="G311" t="str">
        <f t="shared" si="12"/>
        <v>Nara</v>
      </c>
      <c r="H311" t="str">
        <f t="shared" si="13"/>
        <v>new Models.State() {Name = "Nara", Code =  "NARA-KEN", Id =310, CountryId = 89, LocalName = "Nara", Type = "Prefecture" },</v>
      </c>
    </row>
    <row r="312" spans="1:8" x14ac:dyDescent="0.25">
      <c r="A312">
        <f t="shared" si="14"/>
        <v>311</v>
      </c>
      <c r="B312" t="s">
        <v>953</v>
      </c>
      <c r="C312" t="s">
        <v>954</v>
      </c>
      <c r="D312" t="s">
        <v>898</v>
      </c>
      <c r="F312">
        <v>89</v>
      </c>
      <c r="G312" t="str">
        <f t="shared" si="12"/>
        <v>Niigata</v>
      </c>
      <c r="H312" t="str">
        <f t="shared" si="13"/>
        <v>new Models.State() {Name = "Niigata", Code =  "NIIGATA-KEN", Id =311, CountryId = 89, LocalName = "Niigata", Type = "Prefecture" },</v>
      </c>
    </row>
    <row r="313" spans="1:8" x14ac:dyDescent="0.25">
      <c r="A313">
        <f t="shared" si="14"/>
        <v>312</v>
      </c>
      <c r="B313" t="s">
        <v>955</v>
      </c>
      <c r="C313" t="s">
        <v>956</v>
      </c>
      <c r="D313" t="s">
        <v>898</v>
      </c>
      <c r="F313">
        <v>89</v>
      </c>
      <c r="G313" t="str">
        <f t="shared" si="12"/>
        <v>Oita</v>
      </c>
      <c r="H313" t="str">
        <f t="shared" si="13"/>
        <v>new Models.State() {Name = "Oita", Code =  "OITA-KEN", Id =312, CountryId = 89, LocalName = "Oita", Type = "Prefecture" },</v>
      </c>
    </row>
    <row r="314" spans="1:8" x14ac:dyDescent="0.25">
      <c r="A314">
        <f t="shared" si="14"/>
        <v>313</v>
      </c>
      <c r="B314" t="s">
        <v>957</v>
      </c>
      <c r="C314" t="s">
        <v>958</v>
      </c>
      <c r="D314" t="s">
        <v>898</v>
      </c>
      <c r="F314">
        <v>89</v>
      </c>
      <c r="G314" t="str">
        <f t="shared" si="12"/>
        <v>Okayama</v>
      </c>
      <c r="H314" t="str">
        <f t="shared" si="13"/>
        <v>new Models.State() {Name = "Okayama", Code =  "OKAYAMA-KEN", Id =313, CountryId = 89, LocalName = "Okayama", Type = "Prefecture" },</v>
      </c>
    </row>
    <row r="315" spans="1:8" x14ac:dyDescent="0.25">
      <c r="A315">
        <f t="shared" si="14"/>
        <v>314</v>
      </c>
      <c r="B315" t="s">
        <v>959</v>
      </c>
      <c r="C315" t="s">
        <v>960</v>
      </c>
      <c r="D315" t="s">
        <v>898</v>
      </c>
      <c r="F315">
        <v>89</v>
      </c>
      <c r="G315" t="str">
        <f t="shared" si="12"/>
        <v>Okinawa</v>
      </c>
      <c r="H315" t="str">
        <f t="shared" si="13"/>
        <v>new Models.State() {Name = "Okinawa", Code =  "OKINAWA-KEN", Id =314, CountryId = 89, LocalName = "Okinawa", Type = "Prefecture" },</v>
      </c>
    </row>
    <row r="316" spans="1:8" x14ac:dyDescent="0.25">
      <c r="A316">
        <f t="shared" si="14"/>
        <v>315</v>
      </c>
      <c r="B316" t="s">
        <v>961</v>
      </c>
      <c r="C316" t="s">
        <v>962</v>
      </c>
      <c r="D316" t="s">
        <v>898</v>
      </c>
      <c r="F316">
        <v>89</v>
      </c>
      <c r="G316" t="str">
        <f t="shared" si="12"/>
        <v>Osaka</v>
      </c>
      <c r="H316" t="str">
        <f t="shared" si="13"/>
        <v>new Models.State() {Name = "Osaka", Code =  "OSAKA-FU", Id =315, CountryId = 89, LocalName = "Osaka", Type = "Prefecture" },</v>
      </c>
    </row>
    <row r="317" spans="1:8" x14ac:dyDescent="0.25">
      <c r="A317">
        <f t="shared" si="14"/>
        <v>316</v>
      </c>
      <c r="B317" t="s">
        <v>963</v>
      </c>
      <c r="C317" t="s">
        <v>964</v>
      </c>
      <c r="D317" t="s">
        <v>898</v>
      </c>
      <c r="F317">
        <v>89</v>
      </c>
      <c r="G317" t="str">
        <f t="shared" si="12"/>
        <v>Saga</v>
      </c>
      <c r="H317" t="str">
        <f t="shared" si="13"/>
        <v>new Models.State() {Name = "Saga", Code =  "SAGA-KEN", Id =316, CountryId = 89, LocalName = "Saga", Type = "Prefecture" },</v>
      </c>
    </row>
    <row r="318" spans="1:8" x14ac:dyDescent="0.25">
      <c r="A318">
        <f t="shared" si="14"/>
        <v>317</v>
      </c>
      <c r="B318" t="s">
        <v>965</v>
      </c>
      <c r="C318" t="s">
        <v>966</v>
      </c>
      <c r="D318" t="s">
        <v>898</v>
      </c>
      <c r="F318">
        <v>89</v>
      </c>
      <c r="G318" t="str">
        <f t="shared" si="12"/>
        <v>Saitama</v>
      </c>
      <c r="H318" t="str">
        <f t="shared" si="13"/>
        <v>new Models.State() {Name = "Saitama", Code =  "SAITAMA-KEN", Id =317, CountryId = 89, LocalName = "Saitama", Type = "Prefecture" },</v>
      </c>
    </row>
    <row r="319" spans="1:8" x14ac:dyDescent="0.25">
      <c r="A319">
        <f t="shared" si="14"/>
        <v>318</v>
      </c>
      <c r="B319" t="s">
        <v>967</v>
      </c>
      <c r="C319" t="s">
        <v>968</v>
      </c>
      <c r="D319" t="s">
        <v>898</v>
      </c>
      <c r="F319">
        <v>89</v>
      </c>
      <c r="G319" t="str">
        <f t="shared" si="12"/>
        <v>Shiga</v>
      </c>
      <c r="H319" t="str">
        <f t="shared" si="13"/>
        <v>new Models.State() {Name = "Shiga", Code =  "SHIGA-KEN", Id =318, CountryId = 89, LocalName = "Shiga", Type = "Prefecture" },</v>
      </c>
    </row>
    <row r="320" spans="1:8" x14ac:dyDescent="0.25">
      <c r="A320">
        <f t="shared" si="14"/>
        <v>319</v>
      </c>
      <c r="B320" t="s">
        <v>969</v>
      </c>
      <c r="C320" t="s">
        <v>970</v>
      </c>
      <c r="D320" t="s">
        <v>898</v>
      </c>
      <c r="F320">
        <v>89</v>
      </c>
      <c r="G320" t="str">
        <f t="shared" si="12"/>
        <v>Shimane</v>
      </c>
      <c r="H320" t="str">
        <f t="shared" si="13"/>
        <v>new Models.State() {Name = "Shimane", Code =  "SHIMANE-KEN", Id =319, CountryId = 89, LocalName = "Shimane", Type = "Prefecture" },</v>
      </c>
    </row>
    <row r="321" spans="1:8" x14ac:dyDescent="0.25">
      <c r="A321">
        <f t="shared" si="14"/>
        <v>320</v>
      </c>
      <c r="B321" t="s">
        <v>971</v>
      </c>
      <c r="C321" t="s">
        <v>972</v>
      </c>
      <c r="D321" t="s">
        <v>898</v>
      </c>
      <c r="F321">
        <v>89</v>
      </c>
      <c r="G321" t="str">
        <f t="shared" si="12"/>
        <v>Shizuoka</v>
      </c>
      <c r="H321" t="str">
        <f t="shared" si="13"/>
        <v>new Models.State() {Name = "Shizuoka", Code =  "SHIZUOKA-KEN", Id =320, CountryId = 89, LocalName = "Shizuoka", Type = "Prefecture" },</v>
      </c>
    </row>
    <row r="322" spans="1:8" x14ac:dyDescent="0.25">
      <c r="A322">
        <f t="shared" si="14"/>
        <v>321</v>
      </c>
      <c r="B322" t="s">
        <v>973</v>
      </c>
      <c r="C322" t="s">
        <v>974</v>
      </c>
      <c r="D322" t="s">
        <v>898</v>
      </c>
      <c r="F322">
        <v>89</v>
      </c>
      <c r="G322" t="str">
        <f t="shared" si="12"/>
        <v>Tochigi</v>
      </c>
      <c r="H322" t="str">
        <f t="shared" si="13"/>
        <v>new Models.State() {Name = "Tochigi", Code =  "TOCHIGI-KEN", Id =321, CountryId = 89, LocalName = "Tochigi", Type = "Prefecture" },</v>
      </c>
    </row>
    <row r="323" spans="1:8" x14ac:dyDescent="0.25">
      <c r="A323">
        <f t="shared" si="14"/>
        <v>322</v>
      </c>
      <c r="B323" t="s">
        <v>975</v>
      </c>
      <c r="C323" t="s">
        <v>976</v>
      </c>
      <c r="D323" t="s">
        <v>898</v>
      </c>
      <c r="F323">
        <v>89</v>
      </c>
      <c r="G323" t="str">
        <f t="shared" ref="G323:G363" si="15">IF(E323="",B323,E323)</f>
        <v>Tokushima</v>
      </c>
      <c r="H323" t="str">
        <f t="shared" ref="H323:H363" si="16">"new Models.State() {Name = """&amp;B323&amp;""", Code =  """&amp;C323&amp;""", Id ="&amp;A323&amp;", CountryId = "&amp;F323&amp;", LocalName = """&amp;G323&amp;""", Type = """&amp;D323&amp;""" },"</f>
        <v>new Models.State() {Name = "Tokushima", Code =  "TOKUSHIMA-KEN", Id =322, CountryId = 89, LocalName = "Tokushima", Type = "Prefecture" },</v>
      </c>
    </row>
    <row r="324" spans="1:8" x14ac:dyDescent="0.25">
      <c r="A324">
        <f t="shared" ref="A324:A363" si="17">1+A323</f>
        <v>323</v>
      </c>
      <c r="B324" t="s">
        <v>977</v>
      </c>
      <c r="C324" t="s">
        <v>978</v>
      </c>
      <c r="D324" t="s">
        <v>898</v>
      </c>
      <c r="F324">
        <v>89</v>
      </c>
      <c r="G324" t="str">
        <f t="shared" si="15"/>
        <v>Tokyo</v>
      </c>
      <c r="H324" t="str">
        <f t="shared" si="16"/>
        <v>new Models.State() {Name = "Tokyo", Code =  "TOKYO-TO", Id =323, CountryId = 89, LocalName = "Tokyo", Type = "Prefecture" },</v>
      </c>
    </row>
    <row r="325" spans="1:8" x14ac:dyDescent="0.25">
      <c r="A325">
        <f t="shared" si="17"/>
        <v>324</v>
      </c>
      <c r="B325" t="s">
        <v>979</v>
      </c>
      <c r="C325" t="s">
        <v>980</v>
      </c>
      <c r="D325" t="s">
        <v>898</v>
      </c>
      <c r="F325">
        <v>89</v>
      </c>
      <c r="G325" t="str">
        <f t="shared" si="15"/>
        <v>Tottori</v>
      </c>
      <c r="H325" t="str">
        <f t="shared" si="16"/>
        <v>new Models.State() {Name = "Tottori", Code =  "TOTTORI-KEN", Id =324, CountryId = 89, LocalName = "Tottori", Type = "Prefecture" },</v>
      </c>
    </row>
    <row r="326" spans="1:8" x14ac:dyDescent="0.25">
      <c r="A326">
        <f t="shared" si="17"/>
        <v>325</v>
      </c>
      <c r="B326" t="s">
        <v>981</v>
      </c>
      <c r="C326" t="s">
        <v>982</v>
      </c>
      <c r="D326" t="s">
        <v>898</v>
      </c>
      <c r="F326">
        <v>89</v>
      </c>
      <c r="G326" t="str">
        <f t="shared" si="15"/>
        <v>Toyama</v>
      </c>
      <c r="H326" t="str">
        <f t="shared" si="16"/>
        <v>new Models.State() {Name = "Toyama", Code =  "TOYAMA-KEN", Id =325, CountryId = 89, LocalName = "Toyama", Type = "Prefecture" },</v>
      </c>
    </row>
    <row r="327" spans="1:8" x14ac:dyDescent="0.25">
      <c r="A327">
        <f t="shared" si="17"/>
        <v>326</v>
      </c>
      <c r="B327" t="s">
        <v>983</v>
      </c>
      <c r="C327" t="s">
        <v>984</v>
      </c>
      <c r="D327" t="s">
        <v>898</v>
      </c>
      <c r="F327">
        <v>89</v>
      </c>
      <c r="G327" t="str">
        <f t="shared" si="15"/>
        <v>Wakayama</v>
      </c>
      <c r="H327" t="str">
        <f t="shared" si="16"/>
        <v>new Models.State() {Name = "Wakayama", Code =  "WAKAYAMA-KEN", Id =326, CountryId = 89, LocalName = "Wakayama", Type = "Prefecture" },</v>
      </c>
    </row>
    <row r="328" spans="1:8" x14ac:dyDescent="0.25">
      <c r="A328">
        <f t="shared" si="17"/>
        <v>327</v>
      </c>
      <c r="B328" t="s">
        <v>985</v>
      </c>
      <c r="C328" t="s">
        <v>986</v>
      </c>
      <c r="D328" t="s">
        <v>898</v>
      </c>
      <c r="F328">
        <v>89</v>
      </c>
      <c r="G328" t="str">
        <f t="shared" si="15"/>
        <v>Yamagata</v>
      </c>
      <c r="H328" t="str">
        <f t="shared" si="16"/>
        <v>new Models.State() {Name = "Yamagata", Code =  "YAMAGATA-KEN", Id =327, CountryId = 89, LocalName = "Yamagata", Type = "Prefecture" },</v>
      </c>
    </row>
    <row r="329" spans="1:8" x14ac:dyDescent="0.25">
      <c r="A329">
        <f t="shared" si="17"/>
        <v>328</v>
      </c>
      <c r="B329" t="s">
        <v>987</v>
      </c>
      <c r="C329" t="s">
        <v>988</v>
      </c>
      <c r="D329" t="s">
        <v>898</v>
      </c>
      <c r="F329">
        <v>89</v>
      </c>
      <c r="G329" t="str">
        <f t="shared" si="15"/>
        <v>Yamaguchi</v>
      </c>
      <c r="H329" t="str">
        <f t="shared" si="16"/>
        <v>new Models.State() {Name = "Yamaguchi", Code =  "YAMAGUCHI-KEN", Id =328, CountryId = 89, LocalName = "Yamaguchi", Type = "Prefecture" },</v>
      </c>
    </row>
    <row r="330" spans="1:8" x14ac:dyDescent="0.25">
      <c r="A330">
        <f t="shared" si="17"/>
        <v>329</v>
      </c>
      <c r="B330" t="s">
        <v>989</v>
      </c>
      <c r="C330" t="s">
        <v>990</v>
      </c>
      <c r="D330" t="s">
        <v>898</v>
      </c>
      <c r="F330">
        <v>89</v>
      </c>
      <c r="G330" t="str">
        <f t="shared" si="15"/>
        <v>Yamanashi</v>
      </c>
      <c r="H330" t="str">
        <f t="shared" si="16"/>
        <v>new Models.State() {Name = "Yamanashi", Code =  "YAMANASHI-KEN", Id =329, CountryId = 89, LocalName = "Yamanashi", Type = "Prefecture" },</v>
      </c>
    </row>
    <row r="331" spans="1:8" x14ac:dyDescent="0.25">
      <c r="A331">
        <f t="shared" si="17"/>
        <v>330</v>
      </c>
      <c r="B331" t="s">
        <v>992</v>
      </c>
      <c r="C331" t="s">
        <v>993</v>
      </c>
      <c r="D331" t="s">
        <v>462</v>
      </c>
      <c r="F331">
        <v>114</v>
      </c>
      <c r="G331" t="str">
        <f t="shared" si="15"/>
        <v>Aguascalientes</v>
      </c>
      <c r="H331" t="str">
        <f t="shared" si="16"/>
        <v>new Models.State() {Name = "Aguascalientes", Code =  "AGS", Id =330, CountryId = 114, LocalName = "Aguascalientes", Type = "State" },</v>
      </c>
    </row>
    <row r="332" spans="1:8" x14ac:dyDescent="0.25">
      <c r="A332">
        <f t="shared" si="17"/>
        <v>331</v>
      </c>
      <c r="B332" t="s">
        <v>994</v>
      </c>
      <c r="C332" t="s">
        <v>504</v>
      </c>
      <c r="D332" t="s">
        <v>462</v>
      </c>
      <c r="F332">
        <v>114</v>
      </c>
      <c r="G332" t="str">
        <f t="shared" si="15"/>
        <v>Baja California</v>
      </c>
      <c r="H332" t="str">
        <f t="shared" si="16"/>
        <v>new Models.State() {Name = "Baja California", Code =  "BC", Id =331, CountryId = 114, LocalName = "Baja California", Type = "State" },</v>
      </c>
    </row>
    <row r="333" spans="1:8" x14ac:dyDescent="0.25">
      <c r="A333">
        <f t="shared" si="17"/>
        <v>332</v>
      </c>
      <c r="B333" t="s">
        <v>995</v>
      </c>
      <c r="C333" t="s">
        <v>996</v>
      </c>
      <c r="D333" t="s">
        <v>462</v>
      </c>
      <c r="F333">
        <v>114</v>
      </c>
      <c r="G333" t="str">
        <f t="shared" si="15"/>
        <v>Baja California Sur</v>
      </c>
      <c r="H333" t="str">
        <f t="shared" si="16"/>
        <v>new Models.State() {Name = "Baja California Sur", Code =  "BCS", Id =332, CountryId = 114, LocalName = "Baja California Sur", Type = "State" },</v>
      </c>
    </row>
    <row r="334" spans="1:8" x14ac:dyDescent="0.25">
      <c r="A334">
        <f t="shared" si="17"/>
        <v>333</v>
      </c>
      <c r="B334" t="s">
        <v>997</v>
      </c>
      <c r="C334" t="s">
        <v>998</v>
      </c>
      <c r="D334" t="s">
        <v>462</v>
      </c>
      <c r="F334">
        <v>114</v>
      </c>
      <c r="G334" t="str">
        <f t="shared" si="15"/>
        <v>Campeche</v>
      </c>
      <c r="H334" t="str">
        <f t="shared" si="16"/>
        <v>new Models.State() {Name = "Campeche", Code =  "CAMP", Id =333, CountryId = 114, LocalName = "Campeche", Type = "State" },</v>
      </c>
    </row>
    <row r="335" spans="1:8" x14ac:dyDescent="0.25">
      <c r="A335">
        <f t="shared" si="17"/>
        <v>334</v>
      </c>
      <c r="B335" t="s">
        <v>999</v>
      </c>
      <c r="C335" t="s">
        <v>1000</v>
      </c>
      <c r="D335" t="s">
        <v>462</v>
      </c>
      <c r="F335">
        <v>114</v>
      </c>
      <c r="G335" t="str">
        <f t="shared" si="15"/>
        <v>Chiapas</v>
      </c>
      <c r="H335" t="str">
        <f t="shared" si="16"/>
        <v>new Models.State() {Name = "Chiapas", Code =  "CHIS", Id =334, CountryId = 114, LocalName = "Chiapas", Type = "State" },</v>
      </c>
    </row>
    <row r="336" spans="1:8" x14ac:dyDescent="0.25">
      <c r="A336">
        <f t="shared" si="17"/>
        <v>335</v>
      </c>
      <c r="B336" t="s">
        <v>1001</v>
      </c>
      <c r="C336" t="s">
        <v>1002</v>
      </c>
      <c r="D336" t="s">
        <v>462</v>
      </c>
      <c r="F336">
        <v>114</v>
      </c>
      <c r="G336" t="str">
        <f t="shared" si="15"/>
        <v>Chihuahua</v>
      </c>
      <c r="H336" t="str">
        <f t="shared" si="16"/>
        <v>new Models.State() {Name = "Chihuahua", Code =  "CHIH", Id =335, CountryId = 114, LocalName = "Chihuahua", Type = "State" },</v>
      </c>
    </row>
    <row r="337" spans="1:8" x14ac:dyDescent="0.25">
      <c r="A337">
        <f t="shared" si="17"/>
        <v>336</v>
      </c>
      <c r="B337" t="s">
        <v>1003</v>
      </c>
      <c r="C337" t="s">
        <v>1004</v>
      </c>
      <c r="D337" t="s">
        <v>462</v>
      </c>
      <c r="F337">
        <v>114</v>
      </c>
      <c r="G337" t="str">
        <f t="shared" si="15"/>
        <v>Ciudad de México</v>
      </c>
      <c r="H337" t="str">
        <f t="shared" si="16"/>
        <v>new Models.State() {Name = "Ciudad de México", Code =  "CDMX", Id =336, CountryId = 114, LocalName = "Ciudad de México", Type = "State" },</v>
      </c>
    </row>
    <row r="338" spans="1:8" x14ac:dyDescent="0.25">
      <c r="A338">
        <f t="shared" si="17"/>
        <v>337</v>
      </c>
      <c r="B338" t="s">
        <v>1005</v>
      </c>
      <c r="C338" t="s">
        <v>1006</v>
      </c>
      <c r="D338" t="s">
        <v>462</v>
      </c>
      <c r="F338">
        <v>114</v>
      </c>
      <c r="G338" t="str">
        <f t="shared" si="15"/>
        <v>Coahuila</v>
      </c>
      <c r="H338" t="str">
        <f t="shared" si="16"/>
        <v>new Models.State() {Name = "Coahuila", Code =  "COAH", Id =337, CountryId = 114, LocalName = "Coahuila", Type = "State" },</v>
      </c>
    </row>
    <row r="339" spans="1:8" x14ac:dyDescent="0.25">
      <c r="A339">
        <f t="shared" si="17"/>
        <v>338</v>
      </c>
      <c r="B339" t="s">
        <v>1007</v>
      </c>
      <c r="C339" t="s">
        <v>1008</v>
      </c>
      <c r="D339" t="s">
        <v>462</v>
      </c>
      <c r="F339">
        <v>114</v>
      </c>
      <c r="G339" t="str">
        <f t="shared" si="15"/>
        <v>Colima</v>
      </c>
      <c r="H339" t="str">
        <f t="shared" si="16"/>
        <v>new Models.State() {Name = "Colima", Code =  "COL", Id =338, CountryId = 114, LocalName = "Colima", Type = "State" },</v>
      </c>
    </row>
    <row r="340" spans="1:8" x14ac:dyDescent="0.25">
      <c r="A340">
        <f t="shared" si="17"/>
        <v>339</v>
      </c>
      <c r="B340" t="s">
        <v>470</v>
      </c>
      <c r="C340" t="s">
        <v>471</v>
      </c>
      <c r="D340" t="s">
        <v>462</v>
      </c>
      <c r="F340">
        <v>114</v>
      </c>
      <c r="G340" t="str">
        <f t="shared" si="15"/>
        <v>Distrito Federal</v>
      </c>
      <c r="H340" t="str">
        <f t="shared" si="16"/>
        <v>new Models.State() {Name = "Distrito Federal", Code =  "DF", Id =339, CountryId = 114, LocalName = "Distrito Federal", Type = "State" },</v>
      </c>
    </row>
    <row r="341" spans="1:8" x14ac:dyDescent="0.25">
      <c r="A341">
        <f t="shared" si="17"/>
        <v>340</v>
      </c>
      <c r="B341" t="s">
        <v>1009</v>
      </c>
      <c r="C341" t="s">
        <v>1010</v>
      </c>
      <c r="D341" t="s">
        <v>462</v>
      </c>
      <c r="F341">
        <v>114</v>
      </c>
      <c r="G341" t="str">
        <f t="shared" si="15"/>
        <v>Durango</v>
      </c>
      <c r="H341" t="str">
        <f t="shared" si="16"/>
        <v>new Models.State() {Name = "Durango", Code =  "DGO", Id =340, CountryId = 114, LocalName = "Durango", Type = "State" },</v>
      </c>
    </row>
    <row r="342" spans="1:8" x14ac:dyDescent="0.25">
      <c r="A342">
        <f t="shared" si="17"/>
        <v>341</v>
      </c>
      <c r="B342" t="s">
        <v>1011</v>
      </c>
      <c r="C342" t="s">
        <v>1012</v>
      </c>
      <c r="D342" t="s">
        <v>462</v>
      </c>
      <c r="F342">
        <v>114</v>
      </c>
      <c r="G342" t="str">
        <f t="shared" si="15"/>
        <v>Estado de México</v>
      </c>
      <c r="H342" t="str">
        <f t="shared" si="16"/>
        <v>new Models.State() {Name = "Estado de México", Code =  "MEX", Id =341, CountryId = 114, LocalName = "Estado de México", Type = "State" },</v>
      </c>
    </row>
    <row r="343" spans="1:8" x14ac:dyDescent="0.25">
      <c r="A343">
        <f t="shared" si="17"/>
        <v>342</v>
      </c>
      <c r="B343" t="s">
        <v>1013</v>
      </c>
      <c r="C343" t="s">
        <v>1014</v>
      </c>
      <c r="D343" t="s">
        <v>462</v>
      </c>
      <c r="F343">
        <v>114</v>
      </c>
      <c r="G343" t="str">
        <f t="shared" si="15"/>
        <v>Guanajuato</v>
      </c>
      <c r="H343" t="str">
        <f t="shared" si="16"/>
        <v>new Models.State() {Name = "Guanajuato", Code =  "GTO", Id =342, CountryId = 114, LocalName = "Guanajuato", Type = "State" },</v>
      </c>
    </row>
    <row r="344" spans="1:8" x14ac:dyDescent="0.25">
      <c r="A344">
        <f t="shared" si="17"/>
        <v>343</v>
      </c>
      <c r="B344" t="s">
        <v>1015</v>
      </c>
      <c r="C344" t="s">
        <v>1016</v>
      </c>
      <c r="D344" t="s">
        <v>462</v>
      </c>
      <c r="F344">
        <v>114</v>
      </c>
      <c r="G344" t="str">
        <f t="shared" si="15"/>
        <v>Guerrero</v>
      </c>
      <c r="H344" t="str">
        <f t="shared" si="16"/>
        <v>new Models.State() {Name = "Guerrero", Code =  "GRO", Id =343, CountryId = 114, LocalName = "Guerrero", Type = "State" },</v>
      </c>
    </row>
    <row r="345" spans="1:8" x14ac:dyDescent="0.25">
      <c r="A345">
        <f t="shared" si="17"/>
        <v>344</v>
      </c>
      <c r="B345" t="s">
        <v>1017</v>
      </c>
      <c r="C345" t="s">
        <v>1018</v>
      </c>
      <c r="D345" t="s">
        <v>462</v>
      </c>
      <c r="F345">
        <v>114</v>
      </c>
      <c r="G345" t="str">
        <f t="shared" si="15"/>
        <v>Hidalgo</v>
      </c>
      <c r="H345" t="str">
        <f t="shared" si="16"/>
        <v>new Models.State() {Name = "Hidalgo", Code =  "HGO", Id =344, CountryId = 114, LocalName = "Hidalgo", Type = "State" },</v>
      </c>
    </row>
    <row r="346" spans="1:8" x14ac:dyDescent="0.25">
      <c r="A346">
        <f t="shared" si="17"/>
        <v>345</v>
      </c>
      <c r="B346" t="s">
        <v>1019</v>
      </c>
      <c r="C346" t="s">
        <v>1020</v>
      </c>
      <c r="D346" t="s">
        <v>462</v>
      </c>
      <c r="F346">
        <v>114</v>
      </c>
      <c r="G346" t="str">
        <f t="shared" si="15"/>
        <v>Jalisco</v>
      </c>
      <c r="H346" t="str">
        <f t="shared" si="16"/>
        <v>new Models.State() {Name = "Jalisco", Code =  "JAL", Id =345, CountryId = 114, LocalName = "Jalisco", Type = "State" },</v>
      </c>
    </row>
    <row r="347" spans="1:8" x14ac:dyDescent="0.25">
      <c r="A347">
        <f t="shared" si="17"/>
        <v>346</v>
      </c>
      <c r="B347" t="s">
        <v>1021</v>
      </c>
      <c r="C347" t="s">
        <v>1022</v>
      </c>
      <c r="D347" t="s">
        <v>462</v>
      </c>
      <c r="F347">
        <v>114</v>
      </c>
      <c r="G347" t="str">
        <f t="shared" si="15"/>
        <v>Michoacán</v>
      </c>
      <c r="H347" t="str">
        <f t="shared" si="16"/>
        <v>new Models.State() {Name = "Michoacán", Code =  "MICH", Id =346, CountryId = 114, LocalName = "Michoacán", Type = "State" },</v>
      </c>
    </row>
    <row r="348" spans="1:8" x14ac:dyDescent="0.25">
      <c r="A348">
        <f t="shared" si="17"/>
        <v>347</v>
      </c>
      <c r="B348" t="s">
        <v>1023</v>
      </c>
      <c r="C348" t="s">
        <v>1024</v>
      </c>
      <c r="D348" t="s">
        <v>462</v>
      </c>
      <c r="F348">
        <v>114</v>
      </c>
      <c r="G348" t="str">
        <f t="shared" si="15"/>
        <v>Morelos</v>
      </c>
      <c r="H348" t="str">
        <f t="shared" si="16"/>
        <v>new Models.State() {Name = "Morelos", Code =  "MOR", Id =347, CountryId = 114, LocalName = "Morelos", Type = "State" },</v>
      </c>
    </row>
    <row r="349" spans="1:8" x14ac:dyDescent="0.25">
      <c r="A349">
        <f t="shared" si="17"/>
        <v>348</v>
      </c>
      <c r="B349" t="s">
        <v>1025</v>
      </c>
      <c r="C349" t="s">
        <v>1026</v>
      </c>
      <c r="D349" t="s">
        <v>462</v>
      </c>
      <c r="F349">
        <v>114</v>
      </c>
      <c r="G349" t="str">
        <f t="shared" si="15"/>
        <v>Nayarit</v>
      </c>
      <c r="H349" t="str">
        <f t="shared" si="16"/>
        <v>new Models.State() {Name = "Nayarit", Code =  "NAY", Id =348, CountryId = 114, LocalName = "Nayarit", Type = "State" },</v>
      </c>
    </row>
    <row r="350" spans="1:8" x14ac:dyDescent="0.25">
      <c r="A350">
        <f t="shared" si="17"/>
        <v>349</v>
      </c>
      <c r="B350" t="s">
        <v>1027</v>
      </c>
      <c r="C350" t="s">
        <v>251</v>
      </c>
      <c r="D350" t="s">
        <v>462</v>
      </c>
      <c r="F350">
        <v>114</v>
      </c>
      <c r="G350" t="str">
        <f t="shared" si="15"/>
        <v>Nuevo León</v>
      </c>
      <c r="H350" t="str">
        <f t="shared" si="16"/>
        <v>new Models.State() {Name = "Nuevo León", Code =  "NL", Id =349, CountryId = 114, LocalName = "Nuevo León", Type = "State" },</v>
      </c>
    </row>
    <row r="351" spans="1:8" x14ac:dyDescent="0.25">
      <c r="A351">
        <f t="shared" si="17"/>
        <v>350</v>
      </c>
      <c r="B351" t="s">
        <v>1028</v>
      </c>
      <c r="C351" t="s">
        <v>1029</v>
      </c>
      <c r="D351" t="s">
        <v>462</v>
      </c>
      <c r="F351">
        <v>114</v>
      </c>
      <c r="G351" t="str">
        <f t="shared" si="15"/>
        <v>Oaxaca</v>
      </c>
      <c r="H351" t="str">
        <f t="shared" si="16"/>
        <v>new Models.State() {Name = "Oaxaca", Code =  "OAX", Id =350, CountryId = 114, LocalName = "Oaxaca", Type = "State" },</v>
      </c>
    </row>
    <row r="352" spans="1:8" x14ac:dyDescent="0.25">
      <c r="A352">
        <f t="shared" si="17"/>
        <v>351</v>
      </c>
      <c r="B352" t="s">
        <v>1030</v>
      </c>
      <c r="C352" t="s">
        <v>1031</v>
      </c>
      <c r="D352" t="s">
        <v>462</v>
      </c>
      <c r="F352">
        <v>114</v>
      </c>
      <c r="G352" t="str">
        <f t="shared" si="15"/>
        <v>Puebla</v>
      </c>
      <c r="H352" t="str">
        <f t="shared" si="16"/>
        <v>new Models.State() {Name = "Puebla", Code =  "PUE", Id =351, CountryId = 114, LocalName = "Puebla", Type = "State" },</v>
      </c>
    </row>
    <row r="353" spans="1:8" x14ac:dyDescent="0.25">
      <c r="A353">
        <f t="shared" si="17"/>
        <v>352</v>
      </c>
      <c r="B353" t="s">
        <v>1032</v>
      </c>
      <c r="C353" t="s">
        <v>1033</v>
      </c>
      <c r="D353" t="s">
        <v>462</v>
      </c>
      <c r="F353">
        <v>114</v>
      </c>
      <c r="G353" t="str">
        <f t="shared" si="15"/>
        <v>Querétaro</v>
      </c>
      <c r="H353" t="str">
        <f t="shared" si="16"/>
        <v>new Models.State() {Name = "Querétaro", Code =  "QRO", Id =352, CountryId = 114, LocalName = "Querétaro", Type = "State" },</v>
      </c>
    </row>
    <row r="354" spans="1:8" x14ac:dyDescent="0.25">
      <c r="A354">
        <f t="shared" si="17"/>
        <v>353</v>
      </c>
      <c r="B354" t="s">
        <v>1034</v>
      </c>
      <c r="C354" t="s">
        <v>1035</v>
      </c>
      <c r="D354" t="s">
        <v>462</v>
      </c>
      <c r="F354">
        <v>114</v>
      </c>
      <c r="G354" t="str">
        <f t="shared" si="15"/>
        <v>Quintana Roo</v>
      </c>
      <c r="H354" t="str">
        <f t="shared" si="16"/>
        <v>new Models.State() {Name = "Quintana Roo", Code =  "Q ROO", Id =353, CountryId = 114, LocalName = "Quintana Roo", Type = "State" },</v>
      </c>
    </row>
    <row r="355" spans="1:8" x14ac:dyDescent="0.25">
      <c r="A355">
        <f t="shared" si="17"/>
        <v>354</v>
      </c>
      <c r="B355" t="s">
        <v>1036</v>
      </c>
      <c r="C355" t="s">
        <v>1037</v>
      </c>
      <c r="D355" t="s">
        <v>462</v>
      </c>
      <c r="F355">
        <v>114</v>
      </c>
      <c r="G355" t="str">
        <f t="shared" si="15"/>
        <v>San Luis Potosí</v>
      </c>
      <c r="H355" t="str">
        <f t="shared" si="16"/>
        <v>new Models.State() {Name = "San Luis Potosí", Code =  "SLP", Id =354, CountryId = 114, LocalName = "San Luis Potosí", Type = "State" },</v>
      </c>
    </row>
    <row r="356" spans="1:8" x14ac:dyDescent="0.25">
      <c r="A356">
        <f t="shared" si="17"/>
        <v>355</v>
      </c>
      <c r="B356" t="s">
        <v>1038</v>
      </c>
      <c r="C356" t="s">
        <v>1039</v>
      </c>
      <c r="D356" t="s">
        <v>462</v>
      </c>
      <c r="F356">
        <v>114</v>
      </c>
      <c r="G356" t="str">
        <f t="shared" si="15"/>
        <v>Sinaloa</v>
      </c>
      <c r="H356" t="str">
        <f t="shared" si="16"/>
        <v>new Models.State() {Name = "Sinaloa", Code =  "SIN", Id =355, CountryId = 114, LocalName = "Sinaloa", Type = "State" },</v>
      </c>
    </row>
    <row r="357" spans="1:8" x14ac:dyDescent="0.25">
      <c r="A357">
        <f t="shared" si="17"/>
        <v>356</v>
      </c>
      <c r="B357" t="s">
        <v>1040</v>
      </c>
      <c r="C357" t="s">
        <v>1041</v>
      </c>
      <c r="D357" t="s">
        <v>462</v>
      </c>
      <c r="F357">
        <v>114</v>
      </c>
      <c r="G357" t="str">
        <f t="shared" si="15"/>
        <v>Sonora</v>
      </c>
      <c r="H357" t="str">
        <f t="shared" si="16"/>
        <v>new Models.State() {Name = "Sonora", Code =  "SON", Id =356, CountryId = 114, LocalName = "Sonora", Type = "State" },</v>
      </c>
    </row>
    <row r="358" spans="1:8" x14ac:dyDescent="0.25">
      <c r="A358">
        <f t="shared" si="17"/>
        <v>357</v>
      </c>
      <c r="B358" t="s">
        <v>1042</v>
      </c>
      <c r="C358" t="s">
        <v>1043</v>
      </c>
      <c r="D358" t="s">
        <v>462</v>
      </c>
      <c r="F358">
        <v>114</v>
      </c>
      <c r="G358" t="str">
        <f t="shared" si="15"/>
        <v>Tabasco</v>
      </c>
      <c r="H358" t="str">
        <f t="shared" si="16"/>
        <v>new Models.State() {Name = "Tabasco", Code =  "TAB", Id =357, CountryId = 114, LocalName = "Tabasco", Type = "State" },</v>
      </c>
    </row>
    <row r="359" spans="1:8" x14ac:dyDescent="0.25">
      <c r="A359">
        <f t="shared" si="17"/>
        <v>358</v>
      </c>
      <c r="B359" t="s">
        <v>1044</v>
      </c>
      <c r="C359" t="s">
        <v>1045</v>
      </c>
      <c r="D359" t="s">
        <v>462</v>
      </c>
      <c r="F359">
        <v>114</v>
      </c>
      <c r="G359" t="str">
        <f t="shared" si="15"/>
        <v>Tamaulipas</v>
      </c>
      <c r="H359" t="str">
        <f t="shared" si="16"/>
        <v>new Models.State() {Name = "Tamaulipas", Code =  "TAMPS", Id =358, CountryId = 114, LocalName = "Tamaulipas", Type = "State" },</v>
      </c>
    </row>
    <row r="360" spans="1:8" x14ac:dyDescent="0.25">
      <c r="A360">
        <f t="shared" si="17"/>
        <v>359</v>
      </c>
      <c r="B360" t="s">
        <v>1046</v>
      </c>
      <c r="C360" t="s">
        <v>1047</v>
      </c>
      <c r="D360" t="s">
        <v>462</v>
      </c>
      <c r="F360">
        <v>114</v>
      </c>
      <c r="G360" t="str">
        <f t="shared" si="15"/>
        <v>Tlaxcala</v>
      </c>
      <c r="H360" t="str">
        <f t="shared" si="16"/>
        <v>new Models.State() {Name = "Tlaxcala", Code =  "TLAX", Id =359, CountryId = 114, LocalName = "Tlaxcala", Type = "State" },</v>
      </c>
    </row>
    <row r="361" spans="1:8" x14ac:dyDescent="0.25">
      <c r="A361">
        <f t="shared" si="17"/>
        <v>360</v>
      </c>
      <c r="B361" t="s">
        <v>1048</v>
      </c>
      <c r="C361" t="s">
        <v>1049</v>
      </c>
      <c r="D361" t="s">
        <v>462</v>
      </c>
      <c r="F361">
        <v>114</v>
      </c>
      <c r="G361" t="str">
        <f t="shared" si="15"/>
        <v>Veracruz</v>
      </c>
      <c r="H361" t="str">
        <f t="shared" si="16"/>
        <v>new Models.State() {Name = "Veracruz", Code =  "VER", Id =360, CountryId = 114, LocalName = "Veracruz", Type = "State" },</v>
      </c>
    </row>
    <row r="362" spans="1:8" x14ac:dyDescent="0.25">
      <c r="A362">
        <f t="shared" si="17"/>
        <v>361</v>
      </c>
      <c r="B362" t="s">
        <v>1050</v>
      </c>
      <c r="C362" t="s">
        <v>1051</v>
      </c>
      <c r="D362" t="s">
        <v>462</v>
      </c>
      <c r="F362">
        <v>114</v>
      </c>
      <c r="G362" t="str">
        <f t="shared" si="15"/>
        <v>Yucatán</v>
      </c>
      <c r="H362" t="str">
        <f t="shared" si="16"/>
        <v>new Models.State() {Name = "Yucatán", Code =  "YUC", Id =361, CountryId = 114, LocalName = "Yucatán", Type = "State" },</v>
      </c>
    </row>
    <row r="363" spans="1:8" x14ac:dyDescent="0.25">
      <c r="A363">
        <f t="shared" si="17"/>
        <v>362</v>
      </c>
      <c r="B363" t="s">
        <v>1052</v>
      </c>
      <c r="C363" t="s">
        <v>1053</v>
      </c>
      <c r="D363" t="s">
        <v>462</v>
      </c>
      <c r="F363">
        <v>114</v>
      </c>
      <c r="G363" t="str">
        <f t="shared" si="15"/>
        <v>Zacatecas</v>
      </c>
      <c r="H363" t="str">
        <f t="shared" si="16"/>
        <v>new Models.State() {Name = "Zacatecas", Code =  "ZAC", Id =362, CountryId = 114, LocalName = "Zacatecas", Type = "State" },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countries</vt:lpstr>
      <vt:lpstr>Country_WorkingSheet</vt:lpstr>
      <vt:lpstr>State_Provinces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2019-12-08T18:01:06Z</dcterms:created>
  <dcterms:modified xsi:type="dcterms:W3CDTF">2019-12-08T20:32:30Z</dcterms:modified>
</cp:coreProperties>
</file>